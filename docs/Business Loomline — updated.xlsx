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Style-Family Naming" sheetId="12" state="visible" r:id="rId12"/>
    <sheet name="Cust ID" sheetId="13" state="visible" r:id="rId13"/>
    <sheet name="How to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3F2ED"/>
      <sz val="10"/>
    </font>
    <font>
      <i val="1"/>
      <color rgb="006B675E"/>
      <sz val="10"/>
    </font>
    <font>
      <b val="1"/>
      <sz val="13"/>
    </font>
    <font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61511"/>
      </patternFill>
    </fill>
    <fill>
      <patternFill patternType="solid">
        <fgColor rgb="00EAF1F1"/>
      </patternFill>
    </fill>
    <fill>
      <patternFill patternType="solid">
        <fgColor rgb="00EFED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1" customWidth="1" min="6" max="6"/>
    <col width="13" customWidth="1" min="7" max="7"/>
    <col width="11" customWidth="1" min="8" max="8"/>
    <col width="14" customWidth="1" min="9" max="9"/>
    <col width="13" customWidth="1" min="10" max="10"/>
    <col width="13" customWidth="1" min="11" max="11"/>
    <col width="18" customWidth="1" min="12" max="12"/>
    <col width="12" customWidth="1" min="13" max="13"/>
    <col width="13" customWidth="1" min="14" max="14"/>
    <col width="19" customWidth="1" min="15" max="15"/>
    <col width="16" customWidth="1" min="16" max="16"/>
    <col width="12" customWidth="1" min="17" max="17"/>
    <col width="11" customWidth="1" min="18" max="18"/>
    <col width="13" customWidth="1" min="19" max="19"/>
    <col width="13" customWidth="1" min="20" max="20"/>
    <col width="12" customWidth="1" min="21" max="21"/>
    <col width="11" customWidth="1" min="22" max="22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size</t>
        </is>
      </c>
      <c r="G1" s="1" t="inlineStr">
        <is>
          <t>collection</t>
        </is>
      </c>
      <c r="H1" s="1" t="inlineStr">
        <is>
          <t>fabric</t>
        </is>
      </c>
      <c r="I1" s="1" t="inlineStr">
        <is>
          <t>fabric_cost</t>
        </is>
      </c>
      <c r="J1" s="1" t="inlineStr">
        <is>
          <t>print_cost</t>
        </is>
      </c>
      <c r="K1" s="1" t="inlineStr">
        <is>
          <t>paint_cost</t>
        </is>
      </c>
      <c r="L1" s="1" t="inlineStr">
        <is>
          <t>embroidery_cost</t>
        </is>
      </c>
      <c r="M1" s="1" t="inlineStr">
        <is>
          <t>unit_cost</t>
        </is>
      </c>
      <c r="N1" s="1" t="inlineStr">
        <is>
          <t>unit_price</t>
        </is>
      </c>
      <c r="O1" s="1" t="inlineStr">
        <is>
          <t>quantity_on_hand</t>
        </is>
      </c>
      <c r="P1" s="1" t="inlineStr">
        <is>
          <t>reorder_level</t>
        </is>
      </c>
      <c r="Q1" s="1" t="inlineStr">
        <is>
          <t>warehouse</t>
        </is>
      </c>
      <c r="R1" s="1" t="inlineStr">
        <is>
          <t>status</t>
        </is>
      </c>
      <c r="S1" s="1" t="inlineStr">
        <is>
          <t>silhouette</t>
        </is>
      </c>
      <c r="T1" s="1" t="inlineStr">
        <is>
          <t>proportion</t>
        </is>
      </c>
      <c r="U1" s="1" t="inlineStr">
        <is>
          <t>technique</t>
        </is>
      </c>
      <c r="V1" s="1" t="inlineStr">
        <is>
          <t>colour</t>
        </is>
      </c>
    </row>
    <row r="2">
      <c r="A2" t="inlineStr">
        <is>
          <t>HB1PHE-CP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F2" t="inlineStr">
        <is>
          <t>L</t>
        </is>
      </c>
      <c r="G2" t="inlineStr">
        <is>
          <t>#1</t>
        </is>
      </c>
      <c r="H2" t="inlineStr">
        <is>
          <t>Bamboo</t>
        </is>
      </c>
      <c r="I2" t="n">
        <v>2200</v>
      </c>
      <c r="M2" s="2">
        <f>IF(COUNT($I2:$L2)=0,"",SUM($I2:$L2))</f>
        <v/>
      </c>
      <c r="N2" t="n">
        <v>9595</v>
      </c>
      <c r="O2" t="n">
        <v>1</v>
      </c>
      <c r="Q2" t="inlineStr">
        <is>
          <t>Mumbai</t>
        </is>
      </c>
      <c r="R2" t="inlineStr">
        <is>
          <t>Active</t>
        </is>
      </c>
      <c r="S2" t="inlineStr">
        <is>
          <t>Short Sleeve Shirt + Running Embroidery</t>
        </is>
      </c>
      <c r="T2" t="inlineStr">
        <is>
          <t>Relaxed</t>
        </is>
      </c>
      <c r="U2" t="inlineStr">
        <is>
          <t>Digital print + Hand Embroidery</t>
        </is>
      </c>
      <c r="V2" t="inlineStr">
        <is>
          <t>Indigo Blue</t>
        </is>
      </c>
    </row>
    <row r="3">
      <c r="A3" t="inlineStr">
        <is>
          <t>HB1HE-DY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F3" t="inlineStr">
        <is>
          <t>L</t>
        </is>
      </c>
      <c r="G3" t="inlineStr">
        <is>
          <t>#1</t>
        </is>
      </c>
      <c r="H3" t="inlineStr">
        <is>
          <t>100% Linen</t>
        </is>
      </c>
      <c r="I3" t="n">
        <v>2500</v>
      </c>
      <c r="M3" s="2">
        <f>IF(COUNT($I3:$L3)=0,"",SUM($I3:$L3))</f>
        <v/>
      </c>
      <c r="N3" t="n">
        <v>8585</v>
      </c>
      <c r="O3" t="n">
        <v>1</v>
      </c>
      <c r="Q3" t="inlineStr">
        <is>
          <t>Mumbai</t>
        </is>
      </c>
      <c r="R3" t="inlineStr">
        <is>
          <t>Active</t>
        </is>
      </c>
      <c r="S3" t="inlineStr">
        <is>
          <t>Long Sleeve Shirt + Small Object Hand Embroidery</t>
        </is>
      </c>
      <c r="T3" t="inlineStr">
        <is>
          <t>Relaxed</t>
        </is>
      </c>
      <c r="U3" t="inlineStr">
        <is>
          <t>Hand Embroidery</t>
        </is>
      </c>
      <c r="V3" t="inlineStr">
        <is>
          <t>Olive Green</t>
        </is>
      </c>
    </row>
    <row r="4">
      <c r="A4" t="inlineStr">
        <is>
          <t>HB1HE-PO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F4" t="inlineStr">
        <is>
          <t>L</t>
        </is>
      </c>
      <c r="G4" t="inlineStr">
        <is>
          <t>#1</t>
        </is>
      </c>
      <c r="H4" t="inlineStr">
        <is>
          <t>Mixed: Cotton + Linen</t>
        </is>
      </c>
      <c r="I4" t="n">
        <v>2600</v>
      </c>
      <c r="M4" s="2">
        <f>IF(COUNT($I4:$L4)=0,"",SUM($I4:$L4))</f>
        <v/>
      </c>
      <c r="N4" t="n">
        <v>9999</v>
      </c>
      <c r="O4" t="n">
        <v>1</v>
      </c>
      <c r="Q4" t="inlineStr">
        <is>
          <t>Mumbai</t>
        </is>
      </c>
      <c r="R4" t="inlineStr">
        <is>
          <t>Active</t>
        </is>
      </c>
      <c r="S4" t="inlineStr">
        <is>
          <t>Short Sleeve + Long Crop Top + Medium Embroidery</t>
        </is>
      </c>
      <c r="T4" t="inlineStr">
        <is>
          <t>Relaxed</t>
        </is>
      </c>
      <c r="U4" t="inlineStr">
        <is>
          <t>Hand Embroidery</t>
        </is>
      </c>
      <c r="V4" t="inlineStr">
        <is>
          <t>White</t>
        </is>
      </c>
    </row>
    <row r="5">
      <c r="A5" t="inlineStr">
        <is>
          <t>HB1HE-HH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F5" t="inlineStr">
        <is>
          <t>L</t>
        </is>
      </c>
      <c r="G5" t="inlineStr">
        <is>
          <t>#1</t>
        </is>
      </c>
      <c r="H5" t="inlineStr">
        <is>
          <t>Mixed: Cotton + Linen</t>
        </is>
      </c>
      <c r="I5" t="n">
        <v>2800</v>
      </c>
      <c r="M5" s="2">
        <f>IF(COUNT($I5:$L5)=0,"",SUM($I5:$L5))</f>
        <v/>
      </c>
      <c r="N5" t="n">
        <v>10100</v>
      </c>
      <c r="O5" t="n">
        <v>1</v>
      </c>
      <c r="Q5" t="inlineStr">
        <is>
          <t>Mumbai</t>
        </is>
      </c>
      <c r="R5" t="inlineStr">
        <is>
          <t>Active</t>
        </is>
      </c>
      <c r="S5" t="inlineStr">
        <is>
          <t>Short Sleeve Shirt + Hand Embroidery on Neck</t>
        </is>
      </c>
      <c r="T5" t="inlineStr">
        <is>
          <t>Relaxed</t>
        </is>
      </c>
      <c r="U5" t="inlineStr">
        <is>
          <t>Hand Embroidery</t>
        </is>
      </c>
      <c r="V5" t="inlineStr">
        <is>
          <t>Off-White</t>
        </is>
      </c>
    </row>
    <row r="6">
      <c r="A6" t="inlineStr">
        <is>
          <t>HB1HE-SB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F6" t="inlineStr">
        <is>
          <t>L</t>
        </is>
      </c>
      <c r="G6" t="inlineStr">
        <is>
          <t>#1</t>
        </is>
      </c>
      <c r="H6" t="inlineStr">
        <is>
          <t>Bamboo</t>
        </is>
      </c>
      <c r="I6" t="n">
        <v>3000</v>
      </c>
      <c r="M6" s="2">
        <f>IF(COUNT($I6:$L6)=0,"",SUM($I6:$L6))</f>
        <v/>
      </c>
      <c r="N6" t="n">
        <v>12345</v>
      </c>
      <c r="O6" t="n">
        <v>1</v>
      </c>
      <c r="Q6" t="inlineStr">
        <is>
          <t>Mumbai</t>
        </is>
      </c>
      <c r="R6" t="inlineStr">
        <is>
          <t>Active</t>
        </is>
      </c>
      <c r="S6" t="inlineStr">
        <is>
          <t>Short Crop Shirt + Full Hand Embroidery</t>
        </is>
      </c>
      <c r="T6" t="inlineStr">
        <is>
          <t>Relaxed</t>
        </is>
      </c>
      <c r="U6" t="inlineStr">
        <is>
          <t>Hand Embroidery</t>
        </is>
      </c>
      <c r="V6" t="inlineStr">
        <is>
          <t>White</t>
        </is>
      </c>
    </row>
    <row r="7">
      <c r="A7" t="inlineStr">
        <is>
          <t>HBIHP-LB</t>
        </is>
      </c>
      <c r="B7" t="inlineStr">
        <is>
          <t>HBIHP</t>
        </is>
      </c>
      <c r="C7" t="inlineStr">
        <is>
          <t>HB</t>
        </is>
      </c>
      <c r="D7" t="inlineStr">
        <is>
          <t>Lost Bubble - Hand Painting</t>
        </is>
      </c>
      <c r="E7" t="inlineStr">
        <is>
          <t>Jacket</t>
        </is>
      </c>
      <c r="F7" t="inlineStr"/>
      <c r="G7" t="inlineStr">
        <is>
          <t>#1</t>
        </is>
      </c>
      <c r="H7" t="inlineStr">
        <is>
          <t>Upcycled</t>
        </is>
      </c>
      <c r="I7" t="n">
        <v>2500</v>
      </c>
      <c r="M7" s="2">
        <f>IF(COUNT($I7:$L7)=0,"",SUM($I7:$L7))</f>
        <v/>
      </c>
      <c r="N7" t="n">
        <v>7272</v>
      </c>
      <c r="O7" t="n">
        <v>1</v>
      </c>
      <c r="Q7" t="inlineStr">
        <is>
          <t>Mumbai</t>
        </is>
      </c>
      <c r="R7" t="inlineStr">
        <is>
          <t>Active</t>
        </is>
      </c>
      <c r="S7" t="inlineStr">
        <is>
          <t>Sleevles + Hand Embroidery + Hand Painting</t>
        </is>
      </c>
      <c r="T7" t="inlineStr">
        <is>
          <t>Relaxed</t>
        </is>
      </c>
      <c r="U7" t="inlineStr">
        <is>
          <t>Hand Embroidery</t>
        </is>
      </c>
      <c r="V7" t="inlineStr">
        <is>
          <t>Off-White</t>
        </is>
      </c>
    </row>
    <row r="8">
      <c r="A8" t="inlineStr">
        <is>
          <t>HB1HE-CS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F8" t="inlineStr">
        <is>
          <t>L</t>
        </is>
      </c>
      <c r="G8" t="inlineStr">
        <is>
          <t>#1</t>
        </is>
      </c>
      <c r="H8" t="inlineStr">
        <is>
          <t>Bamboo</t>
        </is>
      </c>
      <c r="I8" t="n">
        <v>3000</v>
      </c>
      <c r="M8" s="2">
        <f>IF(COUNT($I8:$L8)=0,"",SUM($I8:$L8))</f>
        <v/>
      </c>
      <c r="N8" t="n">
        <v>12121</v>
      </c>
      <c r="O8" t="n">
        <v>1</v>
      </c>
      <c r="Q8" t="inlineStr">
        <is>
          <t>Mumbai</t>
        </is>
      </c>
      <c r="R8" t="inlineStr">
        <is>
          <t>Active</t>
        </is>
      </c>
      <c r="S8" t="inlineStr">
        <is>
          <t>Long Shirt - Print + Medium Hand Embroidery</t>
        </is>
      </c>
      <c r="T8" t="inlineStr">
        <is>
          <t>Relaxed</t>
        </is>
      </c>
      <c r="U8" t="inlineStr">
        <is>
          <t>Digital print + Hand Embroidery</t>
        </is>
      </c>
      <c r="V8" t="inlineStr">
        <is>
          <t>Red</t>
        </is>
      </c>
    </row>
    <row r="9">
      <c r="A9" t="inlineStr">
        <is>
          <t>HB1HE-LM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F9" t="inlineStr">
        <is>
          <t>L</t>
        </is>
      </c>
      <c r="G9" t="inlineStr">
        <is>
          <t>#1</t>
        </is>
      </c>
      <c r="H9" t="inlineStr">
        <is>
          <t>Bamboo</t>
        </is>
      </c>
      <c r="I9" t="n">
        <v>3000</v>
      </c>
      <c r="M9" s="2">
        <f>IF(COUNT($I9:$L9)=0,"",SUM($I9:$L9))</f>
        <v/>
      </c>
      <c r="N9" t="n">
        <v>12121</v>
      </c>
      <c r="O9" t="n">
        <v>1</v>
      </c>
      <c r="Q9" t="inlineStr">
        <is>
          <t>Mumbai</t>
        </is>
      </c>
      <c r="R9" t="inlineStr">
        <is>
          <t>Active</t>
        </is>
      </c>
      <c r="S9" t="inlineStr">
        <is>
          <t>Long Shirt Print + Upcycled Applique + Hand Embroidery</t>
        </is>
      </c>
      <c r="T9" t="inlineStr">
        <is>
          <t>Relaxed</t>
        </is>
      </c>
      <c r="U9" t="inlineStr">
        <is>
          <t>Hand Embroidery</t>
        </is>
      </c>
      <c r="V9" t="inlineStr">
        <is>
          <t>Black and White</t>
        </is>
      </c>
    </row>
    <row r="10">
      <c r="A10" t="inlineStr">
        <is>
          <t>HB1DP-PLY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- Flourescent Yellow </t>
        </is>
      </c>
      <c r="E10" t="inlineStr">
        <is>
          <t>Shirt</t>
        </is>
      </c>
      <c r="F10" t="inlineStr">
        <is>
          <t>L</t>
        </is>
      </c>
      <c r="G10" t="inlineStr">
        <is>
          <t>#1</t>
        </is>
      </c>
      <c r="H10" t="inlineStr">
        <is>
          <t>Bamboo</t>
        </is>
      </c>
      <c r="I10" t="n">
        <v>1600</v>
      </c>
      <c r="M10" s="2">
        <f>IF(COUNT($I10:$L10)=0,"",SUM($I10:$L10))</f>
        <v/>
      </c>
      <c r="N10" t="n">
        <v>5995</v>
      </c>
      <c r="O10" t="n">
        <v>1</v>
      </c>
      <c r="Q10" t="inlineStr">
        <is>
          <t>Mumbai</t>
        </is>
      </c>
      <c r="R10" t="inlineStr">
        <is>
          <t>Active</t>
        </is>
      </c>
      <c r="S10" t="inlineStr">
        <is>
          <t>Half Sleeve + Digital Print One Colour</t>
        </is>
      </c>
      <c r="T10" t="inlineStr">
        <is>
          <t>Relaxed</t>
        </is>
      </c>
      <c r="U10" t="inlineStr">
        <is>
          <t>Digital Print</t>
        </is>
      </c>
      <c r="V10" t="inlineStr">
        <is>
          <t>Flourscent Yellow</t>
        </is>
      </c>
    </row>
    <row r="11">
      <c r="A11" t="inlineStr">
        <is>
          <t>HB1JAHE-FF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F11" t="inlineStr"/>
      <c r="G11" t="inlineStr">
        <is>
          <t>#1</t>
        </is>
      </c>
      <c r="H11" t="inlineStr">
        <is>
          <t>Upcycled</t>
        </is>
      </c>
      <c r="I11" t="n">
        <v>10000</v>
      </c>
      <c r="M11" s="2">
        <f>IF(COUNT($I11:$L11)=0,"",SUM($I11:$L11))</f>
        <v/>
      </c>
      <c r="N11" t="n">
        <v>37373</v>
      </c>
      <c r="O11" t="n">
        <v>1</v>
      </c>
      <c r="Q11" t="inlineStr">
        <is>
          <t>Mumbai</t>
        </is>
      </c>
      <c r="R11" t="inlineStr">
        <is>
          <t>Active</t>
        </is>
      </c>
      <c r="S11" t="inlineStr">
        <is>
          <t>Sleevless + Upcycled + Half Embroidery</t>
        </is>
      </c>
      <c r="T11" t="inlineStr">
        <is>
          <t>Regular</t>
        </is>
      </c>
      <c r="U11" t="inlineStr">
        <is>
          <t>Hand Embroidery</t>
        </is>
      </c>
      <c r="V11" t="inlineStr">
        <is>
          <t>Grey</t>
        </is>
      </c>
    </row>
    <row r="12">
      <c r="A12" t="inlineStr">
        <is>
          <t>HB1UHE-H1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F12" t="inlineStr">
        <is>
          <t>Free Size</t>
        </is>
      </c>
      <c r="G12" t="inlineStr">
        <is>
          <t>#1</t>
        </is>
      </c>
      <c r="H12" t="inlineStr">
        <is>
          <t>Upcycled</t>
        </is>
      </c>
      <c r="I12" t="n">
        <v>300</v>
      </c>
      <c r="M12" s="2">
        <f>IF(COUNT($I12:$L12)=0,"",SUM($I12:$L12))</f>
        <v/>
      </c>
      <c r="N12" t="n">
        <v>4545</v>
      </c>
      <c r="O12" t="n">
        <v>1</v>
      </c>
      <c r="Q12" t="inlineStr">
        <is>
          <t>Mumbai</t>
        </is>
      </c>
      <c r="R12" t="inlineStr">
        <is>
          <t>Active</t>
        </is>
      </c>
      <c r="S12" t="inlineStr">
        <is>
          <t>Upcycled + Full Hand Embroidery</t>
        </is>
      </c>
      <c r="U12" t="inlineStr">
        <is>
          <t>Hand Embroidery</t>
        </is>
      </c>
      <c r="V12" t="inlineStr">
        <is>
          <t>Black and White</t>
        </is>
      </c>
    </row>
    <row r="13">
      <c r="A13" t="inlineStr">
        <is>
          <t>HB1UHE-H2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F13" t="inlineStr">
        <is>
          <t>Free Size</t>
        </is>
      </c>
      <c r="G13" t="inlineStr">
        <is>
          <t>#1</t>
        </is>
      </c>
      <c r="H13" t="inlineStr">
        <is>
          <t>Upcycled</t>
        </is>
      </c>
      <c r="I13" t="n">
        <v>250</v>
      </c>
      <c r="M13" s="2">
        <f>IF(COUNT($I13:$L13)=0,"",SUM($I13:$L13))</f>
        <v/>
      </c>
      <c r="N13" t="n">
        <v>3535</v>
      </c>
      <c r="O13" t="n">
        <v>1</v>
      </c>
      <c r="Q13" t="inlineStr">
        <is>
          <t>Mumbai</t>
        </is>
      </c>
      <c r="R13" t="inlineStr">
        <is>
          <t>Active</t>
        </is>
      </c>
      <c r="S13" t="inlineStr">
        <is>
          <t>Upcycled + Medium Embroidery + Centre</t>
        </is>
      </c>
      <c r="U13" t="inlineStr">
        <is>
          <t>Hand Embroidery</t>
        </is>
      </c>
      <c r="V13" t="inlineStr">
        <is>
          <t>White</t>
        </is>
      </c>
    </row>
    <row r="14">
      <c r="A14" t="inlineStr">
        <is>
          <t>HB1UHE-H3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F14" t="inlineStr">
        <is>
          <t>Free Size</t>
        </is>
      </c>
      <c r="G14" t="inlineStr">
        <is>
          <t>#1</t>
        </is>
      </c>
      <c r="H14" t="inlineStr">
        <is>
          <t>Upcycled</t>
        </is>
      </c>
      <c r="I14" t="n">
        <v>250</v>
      </c>
      <c r="M14" s="2">
        <f>IF(COUNT($I14:$L14)=0,"",SUM($I14:$L14))</f>
        <v/>
      </c>
      <c r="N14" t="n">
        <v>3535</v>
      </c>
      <c r="O14" t="n">
        <v>1</v>
      </c>
      <c r="Q14" t="inlineStr">
        <is>
          <t>Mumbai</t>
        </is>
      </c>
      <c r="R14" t="inlineStr">
        <is>
          <t>Active</t>
        </is>
      </c>
      <c r="S14" t="inlineStr">
        <is>
          <t>Upcycled + Medium Embroidery + Boder</t>
        </is>
      </c>
      <c r="U14" t="inlineStr">
        <is>
          <t>Hand Embroidery</t>
        </is>
      </c>
      <c r="V14" t="inlineStr">
        <is>
          <t>White</t>
        </is>
      </c>
    </row>
    <row r="15">
      <c r="A15" t="inlineStr">
        <is>
          <t>HB1UHE-H4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F15" t="inlineStr">
        <is>
          <t>Free Size</t>
        </is>
      </c>
      <c r="G15" t="inlineStr">
        <is>
          <t>#1</t>
        </is>
      </c>
      <c r="H15" t="inlineStr">
        <is>
          <t>Upcycled</t>
        </is>
      </c>
      <c r="I15" t="n">
        <v>200</v>
      </c>
      <c r="M15" s="2">
        <f>IF(COUNT($I15:$L15)=0,"",SUM($I15:$L15))</f>
        <v/>
      </c>
      <c r="N15" t="n">
        <v>2002</v>
      </c>
      <c r="O15" t="n">
        <v>1</v>
      </c>
      <c r="Q15" t="inlineStr">
        <is>
          <t>Mumbai</t>
        </is>
      </c>
      <c r="R15" t="inlineStr">
        <is>
          <t>Active</t>
        </is>
      </c>
      <c r="S15" t="inlineStr">
        <is>
          <t>Upcycled + Medium Embroidery + Boder</t>
        </is>
      </c>
      <c r="U15" t="inlineStr">
        <is>
          <t>Hand Embroidery</t>
        </is>
      </c>
      <c r="V15" t="inlineStr">
        <is>
          <t>Yellow</t>
        </is>
      </c>
    </row>
    <row r="16">
      <c r="A16" t="inlineStr">
        <is>
          <t>HB1UP-H5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F16" t="inlineStr">
        <is>
          <t>Free Size</t>
        </is>
      </c>
      <c r="G16" t="inlineStr">
        <is>
          <t>#1</t>
        </is>
      </c>
      <c r="H16" t="inlineStr">
        <is>
          <t>Upcycled</t>
        </is>
      </c>
      <c r="I16" t="n">
        <v>150</v>
      </c>
      <c r="M16" s="2">
        <f>IF(COUNT($I16:$L16)=0,"",SUM($I16:$L16))</f>
        <v/>
      </c>
      <c r="N16" t="n">
        <v>1415</v>
      </c>
      <c r="O16" t="n">
        <v>1</v>
      </c>
      <c r="Q16" t="inlineStr">
        <is>
          <t>Mumbai</t>
        </is>
      </c>
      <c r="R16" t="inlineStr">
        <is>
          <t>Active</t>
        </is>
      </c>
      <c r="S16" t="inlineStr">
        <is>
          <t>Upcycled + Medium Embroidery + Boder</t>
        </is>
      </c>
      <c r="U16" t="inlineStr">
        <is>
          <t>Hand Embroidery</t>
        </is>
      </c>
      <c r="V16" t="inlineStr">
        <is>
          <t>Black and White</t>
        </is>
      </c>
    </row>
    <row r="17">
      <c r="A17" t="inlineStr">
        <is>
          <t>HB1UP-H6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F17" t="inlineStr">
        <is>
          <t>Free Size</t>
        </is>
      </c>
      <c r="G17" t="inlineStr">
        <is>
          <t>#1</t>
        </is>
      </c>
      <c r="H17" t="inlineStr">
        <is>
          <t>Upcycled</t>
        </is>
      </c>
      <c r="I17" t="n">
        <v>150</v>
      </c>
      <c r="M17" s="2">
        <f>IF(COUNT($I17:$L17)=0,"",SUM($I17:$L17))</f>
        <v/>
      </c>
      <c r="N17" t="n">
        <v>1112</v>
      </c>
      <c r="O17" t="n">
        <v>0</v>
      </c>
      <c r="Q17" t="inlineStr">
        <is>
          <t>Mumbai</t>
        </is>
      </c>
      <c r="R17" t="inlineStr">
        <is>
          <t>Active</t>
        </is>
      </c>
      <c r="S17" t="inlineStr">
        <is>
          <t>Upcycled + Medium Embroidery + Typography</t>
        </is>
      </c>
      <c r="U17" t="inlineStr">
        <is>
          <t>Hand Embroidery</t>
        </is>
      </c>
      <c r="V17" t="inlineStr">
        <is>
          <t>Black</t>
        </is>
      </c>
    </row>
    <row r="18">
      <c r="A18" t="inlineStr">
        <is>
          <t>HB1UHE-H7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F18" t="inlineStr">
        <is>
          <t>Free Size</t>
        </is>
      </c>
      <c r="G18" t="inlineStr">
        <is>
          <t>#1</t>
        </is>
      </c>
      <c r="H18" t="inlineStr">
        <is>
          <t>Upcycled</t>
        </is>
      </c>
      <c r="I18" t="n">
        <v>100</v>
      </c>
      <c r="M18" s="2">
        <f>IF(COUNT($I18:$L18)=0,"",SUM($I18:$L18))</f>
        <v/>
      </c>
      <c r="N18" t="n">
        <v>888</v>
      </c>
      <c r="O18" t="n">
        <v>1</v>
      </c>
      <c r="Q18" t="inlineStr">
        <is>
          <t>Mumbai</t>
        </is>
      </c>
      <c r="R18" t="inlineStr">
        <is>
          <t>Active</t>
        </is>
      </c>
      <c r="S18" t="inlineStr">
        <is>
          <t>Upcycled + Print</t>
        </is>
      </c>
      <c r="U18" t="inlineStr">
        <is>
          <t>Digital print + Hand Embroidery</t>
        </is>
      </c>
    </row>
    <row r="19">
      <c r="A19" t="inlineStr">
        <is>
          <t>HB1UHE-PS1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F19" t="inlineStr">
        <is>
          <t>Free Size</t>
        </is>
      </c>
      <c r="G19" t="inlineStr">
        <is>
          <t>#1</t>
        </is>
      </c>
      <c r="H19" t="inlineStr">
        <is>
          <t>Upcycled</t>
        </is>
      </c>
      <c r="I19" t="n">
        <v>1000</v>
      </c>
      <c r="M19" s="2">
        <f>IF(COUNT($I19:$L19)=0,"",SUM($I19:$L19))</f>
        <v/>
      </c>
      <c r="N19" t="n">
        <v>4545</v>
      </c>
      <c r="O19" t="n">
        <v>1</v>
      </c>
      <c r="Q19" t="inlineStr">
        <is>
          <t>Mumbai</t>
        </is>
      </c>
      <c r="R19" t="inlineStr">
        <is>
          <t>Active</t>
        </is>
      </c>
      <c r="S19" t="inlineStr">
        <is>
          <t>Hand Embroidery</t>
        </is>
      </c>
      <c r="U19" t="inlineStr">
        <is>
          <t>Hand Embroidery</t>
        </is>
      </c>
    </row>
    <row r="20">
      <c r="A20" t="inlineStr">
        <is>
          <t>HB1UHE-PS2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F20" t="inlineStr">
        <is>
          <t>Free Size</t>
        </is>
      </c>
      <c r="G20" t="inlineStr">
        <is>
          <t>#1</t>
        </is>
      </c>
      <c r="H20" t="inlineStr">
        <is>
          <t>Upcycled</t>
        </is>
      </c>
      <c r="I20" t="n">
        <v>200</v>
      </c>
      <c r="M20" s="2">
        <f>IF(COUNT($I20:$L20)=0,"",SUM($I20:$L20))</f>
        <v/>
      </c>
      <c r="N20" t="n">
        <v>1212</v>
      </c>
      <c r="O20" t="n">
        <v>1</v>
      </c>
      <c r="Q20" t="inlineStr">
        <is>
          <t>Mumbai</t>
        </is>
      </c>
      <c r="R20" t="inlineStr">
        <is>
          <t>Active</t>
        </is>
      </c>
      <c r="S20" t="inlineStr">
        <is>
          <t>Hand Embroidery</t>
        </is>
      </c>
      <c r="U20" t="inlineStr">
        <is>
          <t>Hand Embroidery</t>
        </is>
      </c>
    </row>
    <row r="21">
      <c r="A21" t="inlineStr">
        <is>
          <t>HB1UHE-PS3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F21" t="inlineStr">
        <is>
          <t>Free Size</t>
        </is>
      </c>
      <c r="G21" t="inlineStr">
        <is>
          <t>#1</t>
        </is>
      </c>
      <c r="H21" t="inlineStr">
        <is>
          <t>Upcycled</t>
        </is>
      </c>
      <c r="I21" t="n">
        <v>1000</v>
      </c>
      <c r="M21" s="2">
        <f>IF(COUNT($I21:$L21)=0,"",SUM($I21:$L21))</f>
        <v/>
      </c>
      <c r="N21" t="n">
        <v>4545</v>
      </c>
      <c r="O21" t="n">
        <v>1</v>
      </c>
      <c r="Q21" t="inlineStr">
        <is>
          <t>Mumbai</t>
        </is>
      </c>
      <c r="R21" t="inlineStr">
        <is>
          <t>Active</t>
        </is>
      </c>
      <c r="S21" t="inlineStr">
        <is>
          <t>Hand Embroidery</t>
        </is>
      </c>
      <c r="U21" t="inlineStr">
        <is>
          <t>Hand Embroidery</t>
        </is>
      </c>
    </row>
    <row r="22">
      <c r="A22" t="inlineStr">
        <is>
          <t>HB1UHP-BD1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F22" t="inlineStr">
        <is>
          <t>Free Size</t>
        </is>
      </c>
      <c r="G22" t="inlineStr">
        <is>
          <t>#1</t>
        </is>
      </c>
      <c r="H22" t="inlineStr">
        <is>
          <t>Upcycled</t>
        </is>
      </c>
      <c r="I22" t="n">
        <v>70</v>
      </c>
      <c r="M22" s="2">
        <f>IF(COUNT($I22:$L22)=0,"",SUM($I22:$L22))</f>
        <v/>
      </c>
      <c r="N22" t="n">
        <v>555</v>
      </c>
      <c r="O22" t="n">
        <v>1</v>
      </c>
      <c r="Q22" t="inlineStr">
        <is>
          <t>Mumbai</t>
        </is>
      </c>
      <c r="R22" t="inlineStr">
        <is>
          <t>Active</t>
        </is>
      </c>
      <c r="S22" t="inlineStr">
        <is>
          <t>Hand Painting</t>
        </is>
      </c>
      <c r="U22" t="inlineStr">
        <is>
          <t>Hand Painting</t>
        </is>
      </c>
    </row>
    <row r="23">
      <c r="A23" t="inlineStr">
        <is>
          <t>HB1UHP-BD2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F23" t="inlineStr">
        <is>
          <t>Free Size</t>
        </is>
      </c>
      <c r="G23" t="inlineStr">
        <is>
          <t>#1</t>
        </is>
      </c>
      <c r="H23" t="inlineStr">
        <is>
          <t>Upcycled</t>
        </is>
      </c>
      <c r="I23" t="n">
        <v>100</v>
      </c>
      <c r="M23" s="2">
        <f>IF(COUNT($I23:$L23)=0,"",SUM($I23:$L23))</f>
        <v/>
      </c>
      <c r="N23" t="n">
        <v>789</v>
      </c>
      <c r="O23" t="n">
        <v>1</v>
      </c>
      <c r="Q23" t="inlineStr">
        <is>
          <t>Mumbai</t>
        </is>
      </c>
      <c r="R23" t="inlineStr">
        <is>
          <t>Active</t>
        </is>
      </c>
      <c r="S23" t="inlineStr">
        <is>
          <t>Hand Painting</t>
        </is>
      </c>
      <c r="U23" t="inlineStr">
        <is>
          <t>Hand Painting</t>
        </is>
      </c>
    </row>
    <row r="24">
      <c r="A24" t="inlineStr">
        <is>
          <t>HB1UHP-BD3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F24" t="inlineStr">
        <is>
          <t>Free Size</t>
        </is>
      </c>
      <c r="G24" t="inlineStr">
        <is>
          <t>#1</t>
        </is>
      </c>
      <c r="H24" t="inlineStr">
        <is>
          <t>Upcycled</t>
        </is>
      </c>
      <c r="I24" t="n">
        <v>70</v>
      </c>
      <c r="M24" s="2">
        <f>IF(COUNT($I24:$L24)=0,"",SUM($I24:$L24))</f>
        <v/>
      </c>
      <c r="N24" t="n">
        <v>555</v>
      </c>
      <c r="O24" t="n">
        <v>1</v>
      </c>
      <c r="Q24" t="inlineStr">
        <is>
          <t>Mumbai</t>
        </is>
      </c>
      <c r="R24" t="inlineStr">
        <is>
          <t>Active</t>
        </is>
      </c>
      <c r="S24" t="inlineStr">
        <is>
          <t>Hand Painting</t>
        </is>
      </c>
      <c r="U24" t="inlineStr">
        <is>
          <t>Hand Painting</t>
        </is>
      </c>
    </row>
    <row r="25">
      <c r="A25" t="inlineStr">
        <is>
          <t>HB1UHP-BD4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F25" t="inlineStr">
        <is>
          <t>Free Size</t>
        </is>
      </c>
      <c r="G25" t="inlineStr">
        <is>
          <t>#1</t>
        </is>
      </c>
      <c r="H25" t="inlineStr">
        <is>
          <t>Upcycled</t>
        </is>
      </c>
      <c r="I25" t="n">
        <v>70</v>
      </c>
      <c r="M25" s="2">
        <f>IF(COUNT($I25:$L25)=0,"",SUM($I25:$L25))</f>
        <v/>
      </c>
      <c r="N25" t="n">
        <v>555</v>
      </c>
      <c r="O25" t="n">
        <v>1</v>
      </c>
      <c r="Q25" t="inlineStr">
        <is>
          <t>Mumbai</t>
        </is>
      </c>
      <c r="R25" t="inlineStr">
        <is>
          <t>Active</t>
        </is>
      </c>
      <c r="S25" t="inlineStr">
        <is>
          <t>Hand Painting</t>
        </is>
      </c>
      <c r="U25" t="inlineStr">
        <is>
          <t>Hand Painting</t>
        </is>
      </c>
    </row>
    <row r="26">
      <c r="A26" t="inlineStr">
        <is>
          <t>PS1DP-REF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F26" t="inlineStr">
        <is>
          <t>L</t>
        </is>
      </c>
      <c r="G26" t="inlineStr">
        <is>
          <t>#1</t>
        </is>
      </c>
      <c r="H26" t="inlineStr">
        <is>
          <t>Giza Cotton</t>
        </is>
      </c>
      <c r="I26" t="n">
        <v>1200</v>
      </c>
      <c r="M26" s="2">
        <f>IF(COUNT($I26:$L26)=0,"",SUM($I26:$L26))</f>
        <v/>
      </c>
      <c r="N26" t="n">
        <v>2300</v>
      </c>
      <c r="O26" t="n">
        <v>1</v>
      </c>
      <c r="Q26" t="inlineStr">
        <is>
          <t>Mumbai</t>
        </is>
      </c>
      <c r="R26" t="inlineStr">
        <is>
          <t>Active</t>
        </is>
      </c>
      <c r="S26" t="inlineStr">
        <is>
          <t>Half Sleeve + Digital Print One Colour</t>
        </is>
      </c>
      <c r="T26" t="inlineStr">
        <is>
          <t>Relaxed</t>
        </is>
      </c>
      <c r="U26" t="inlineStr">
        <is>
          <t>Digital Print</t>
        </is>
      </c>
      <c r="V26" t="inlineStr">
        <is>
          <t>Red</t>
        </is>
      </c>
    </row>
    <row r="27">
      <c r="A27" t="inlineStr">
        <is>
          <t>PS1DP-GYF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F27" t="inlineStr">
        <is>
          <t>L</t>
        </is>
      </c>
      <c r="G27" t="inlineStr">
        <is>
          <t>#1</t>
        </is>
      </c>
      <c r="H27" t="inlineStr">
        <is>
          <t>Giza Cotton</t>
        </is>
      </c>
      <c r="I27" t="n">
        <v>1200</v>
      </c>
      <c r="M27" s="2">
        <f>IF(COUNT($I27:$L27)=0,"",SUM($I27:$L27))</f>
        <v/>
      </c>
      <c r="N27" t="n">
        <v>2300</v>
      </c>
      <c r="O27" t="n">
        <v>1</v>
      </c>
      <c r="Q27" t="inlineStr">
        <is>
          <t>Mumbai</t>
        </is>
      </c>
      <c r="R27" t="inlineStr">
        <is>
          <t>Active</t>
        </is>
      </c>
      <c r="S27" t="inlineStr">
        <is>
          <t>Half Sleeve + Digital Print One Colour</t>
        </is>
      </c>
      <c r="T27" t="inlineStr">
        <is>
          <t>Relaxed</t>
        </is>
      </c>
      <c r="U27" t="inlineStr">
        <is>
          <t>Digital Print</t>
        </is>
      </c>
      <c r="V27" t="inlineStr">
        <is>
          <t>Grey</t>
        </is>
      </c>
    </row>
    <row r="28">
      <c r="A28" t="inlineStr">
        <is>
          <t>PS1DP-BWP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F28" t="inlineStr">
        <is>
          <t>L</t>
        </is>
      </c>
      <c r="G28" t="inlineStr">
        <is>
          <t>#1</t>
        </is>
      </c>
      <c r="H28" t="inlineStr">
        <is>
          <t>Giza Cotton</t>
        </is>
      </c>
      <c r="I28" t="n">
        <v>1200</v>
      </c>
      <c r="M28" s="2">
        <f>IF(COUNT($I28:$L28)=0,"",SUM($I28:$L28))</f>
        <v/>
      </c>
      <c r="N28" t="n">
        <v>2300</v>
      </c>
      <c r="O28" t="n">
        <v>1</v>
      </c>
      <c r="Q28" t="inlineStr">
        <is>
          <t>Mumbai</t>
        </is>
      </c>
      <c r="R28" t="inlineStr">
        <is>
          <t>Active</t>
        </is>
      </c>
      <c r="S28" t="inlineStr">
        <is>
          <t>Half Sleeve + Digital Print One Colour</t>
        </is>
      </c>
      <c r="T28" t="inlineStr">
        <is>
          <t>Relaxed</t>
        </is>
      </c>
      <c r="U28" t="inlineStr">
        <is>
          <t>Digital Print</t>
        </is>
      </c>
      <c r="V28" t="inlineStr">
        <is>
          <t>Black and White</t>
        </is>
      </c>
    </row>
    <row r="29">
      <c r="A29" t="inlineStr">
        <is>
          <t>PS1DP-LCC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F29" t="inlineStr">
        <is>
          <t>L</t>
        </is>
      </c>
      <c r="G29" t="inlineStr">
        <is>
          <t>#1</t>
        </is>
      </c>
      <c r="H29" t="inlineStr">
        <is>
          <t>Giza Cotton</t>
        </is>
      </c>
      <c r="I29" t="n">
        <v>1200</v>
      </c>
      <c r="M29" s="2">
        <f>IF(COUNT($I29:$L29)=0,"",SUM($I29:$L29))</f>
        <v/>
      </c>
      <c r="N29" t="n">
        <v>2300</v>
      </c>
      <c r="O29" t="n">
        <v>1</v>
      </c>
      <c r="Q29" t="inlineStr">
        <is>
          <t>Mumbai</t>
        </is>
      </c>
      <c r="R29" t="inlineStr">
        <is>
          <t>Active</t>
        </is>
      </c>
      <c r="S29" t="inlineStr">
        <is>
          <t>Half Sleeve + Digital Print One Colour</t>
        </is>
      </c>
      <c r="T29" t="inlineStr">
        <is>
          <t>Relaxed</t>
        </is>
      </c>
      <c r="U29" t="inlineStr">
        <is>
          <t>Digital Print</t>
        </is>
      </c>
    </row>
    <row r="30">
      <c r="A30" t="inlineStr">
        <is>
          <t>PS1DP-BLM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F30" t="inlineStr">
        <is>
          <t>L</t>
        </is>
      </c>
      <c r="G30" t="inlineStr">
        <is>
          <t>#1</t>
        </is>
      </c>
      <c r="H30" t="inlineStr">
        <is>
          <t>Giza Cotton</t>
        </is>
      </c>
      <c r="I30" t="n">
        <v>1200</v>
      </c>
      <c r="M30" s="2">
        <f>IF(COUNT($I30:$L30)=0,"",SUM($I30:$L30))</f>
        <v/>
      </c>
      <c r="N30" t="n">
        <v>2300</v>
      </c>
      <c r="O30" t="n">
        <v>1</v>
      </c>
      <c r="Q30" t="inlineStr">
        <is>
          <t>Mumbai</t>
        </is>
      </c>
      <c r="R30" t="inlineStr">
        <is>
          <t>Active</t>
        </is>
      </c>
      <c r="S30" t="inlineStr">
        <is>
          <t>Half Sleeve + Digital Print One Colour</t>
        </is>
      </c>
      <c r="T30" t="inlineStr">
        <is>
          <t>Relaxed</t>
        </is>
      </c>
      <c r="U30" t="inlineStr">
        <is>
          <t>Digital Print</t>
        </is>
      </c>
    </row>
    <row r="31">
      <c r="A31" t="inlineStr">
        <is>
          <t>PS1DP-TPS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F31" t="inlineStr">
        <is>
          <t>L</t>
        </is>
      </c>
      <c r="G31" t="inlineStr">
        <is>
          <t>#1</t>
        </is>
      </c>
      <c r="H31" t="inlineStr">
        <is>
          <t>Giza Cotton</t>
        </is>
      </c>
      <c r="I31" t="n">
        <v>1200</v>
      </c>
      <c r="M31" s="2">
        <f>IF(COUNT($I31:$L31)=0,"",SUM($I31:$L31))</f>
        <v/>
      </c>
      <c r="N31" t="n">
        <v>2300</v>
      </c>
      <c r="O31" t="n">
        <v>1</v>
      </c>
      <c r="Q31" t="inlineStr">
        <is>
          <t>Mumbai</t>
        </is>
      </c>
      <c r="R31" t="inlineStr">
        <is>
          <t>Active</t>
        </is>
      </c>
      <c r="S31" t="inlineStr">
        <is>
          <t>Half Sleeve + Digital Print One Colour</t>
        </is>
      </c>
      <c r="T31" t="inlineStr">
        <is>
          <t>Relaxed</t>
        </is>
      </c>
      <c r="U31" t="inlineStr">
        <is>
          <t>Digital Print</t>
        </is>
      </c>
    </row>
    <row r="32">
      <c r="M32" s="2">
        <f>IF(COUNT($I32:$L32)=0,"",SUM($I32:$L32))</f>
        <v/>
      </c>
    </row>
    <row r="33">
      <c r="M33" s="2">
        <f>IF(COUNT($I33:$L33)=0,"",SUM($I33:$L33))</f>
        <v/>
      </c>
    </row>
    <row r="34">
      <c r="M34" s="2">
        <f>IF(COUNT($I34:$L34)=0,"",SUM($I34:$L34))</f>
        <v/>
      </c>
    </row>
    <row r="35">
      <c r="M35" s="2">
        <f>IF(COUNT($I35:$L35)=0,"",SUM($I35:$L35))</f>
        <v/>
      </c>
    </row>
    <row r="36">
      <c r="M36" s="2">
        <f>IF(COUNT($I36:$L36)=0,"",SUM($I36:$L36))</f>
        <v/>
      </c>
    </row>
    <row r="37">
      <c r="M37" s="2">
        <f>IF(COUNT($I37:$L37)=0,"",SUM($I37:$L37))</f>
        <v/>
      </c>
    </row>
    <row r="38">
      <c r="M38" s="2">
        <f>IF(COUNT($I38:$L38)=0,"",SUM($I38:$L38))</f>
        <v/>
      </c>
    </row>
    <row r="39">
      <c r="M39" s="2">
        <f>IF(COUNT($I39:$L39)=0,"",SUM($I39:$L39))</f>
        <v/>
      </c>
    </row>
    <row r="40">
      <c r="M40" s="2">
        <f>IF(COUNT($I40:$L40)=0,"",SUM($I40:$L40))</f>
        <v/>
      </c>
    </row>
    <row r="41">
      <c r="M41" s="2">
        <f>IF(COUNT($I41:$L41)=0,"",SUM($I41:$L41))</f>
        <v/>
      </c>
    </row>
    <row r="42">
      <c r="M42" s="2">
        <f>IF(COUNT($I42:$L42)=0,"",SUM($I42:$L42))</f>
        <v/>
      </c>
    </row>
    <row r="43">
      <c r="M43" s="2">
        <f>IF(COUNT($I43:$L43)=0,"",SUM($I43:$L43))</f>
        <v/>
      </c>
    </row>
    <row r="44">
      <c r="M44" s="2">
        <f>IF(COUNT($I44:$L44)=0,"",SUM($I44:$L44))</f>
        <v/>
      </c>
    </row>
    <row r="45">
      <c r="M45" s="2">
        <f>IF(COUNT($I45:$L45)=0,"",SUM($I45:$L45))</f>
        <v/>
      </c>
    </row>
    <row r="46">
      <c r="M46" s="2">
        <f>IF(COUNT($I46:$L46)=0,"",SUM($I46:$L46))</f>
        <v/>
      </c>
    </row>
    <row r="47">
      <c r="M47" s="2">
        <f>IF(COUNT($I47:$L47)=0,"",SUM($I47:$L47))</f>
        <v/>
      </c>
    </row>
    <row r="48">
      <c r="M48" s="2">
        <f>IF(COUNT($I48:$L48)=0,"",SUM($I48:$L48))</f>
        <v/>
      </c>
    </row>
    <row r="49">
      <c r="M49" s="2">
        <f>IF(COUNT($I49:$L49)=0,"",SUM($I49:$L49))</f>
        <v/>
      </c>
    </row>
    <row r="50">
      <c r="M50" s="2">
        <f>IF(COUNT($I50:$L50)=0,"",SUM($I50:$L50))</f>
        <v/>
      </c>
    </row>
    <row r="51">
      <c r="M51" s="2">
        <f>IF(COUNT($I51:$L51)=0,"",SUM($I51:$L51))</f>
        <v/>
      </c>
    </row>
    <row r="52">
      <c r="M52" s="2">
        <f>IF(COUNT($I52:$L52)=0,"",SUM($I52:$L52))</f>
        <v/>
      </c>
    </row>
    <row r="53">
      <c r="M53" s="2">
        <f>IF(COUNT($I53:$L53)=0,"",SUM($I53:$L53))</f>
        <v/>
      </c>
    </row>
    <row r="54">
      <c r="M54" s="2">
        <f>IF(COUNT($I54:$L54)=0,"",SUM($I54:$L54))</f>
        <v/>
      </c>
    </row>
    <row r="55">
      <c r="M55" s="2">
        <f>IF(COUNT($I55:$L55)=0,"",SUM($I55:$L55))</f>
        <v/>
      </c>
    </row>
    <row r="56">
      <c r="M56" s="2">
        <f>IF(COUNT($I56:$L56)=0,"",SUM($I56:$L56))</f>
        <v/>
      </c>
    </row>
    <row r="57">
      <c r="M57" s="2">
        <f>IF(COUNT($I57:$L57)=0,"",SUM($I57:$L57))</f>
        <v/>
      </c>
    </row>
    <row r="58">
      <c r="M58" s="2">
        <f>IF(COUNT($I58:$L58)=0,"",SUM($I58:$L58))</f>
        <v/>
      </c>
    </row>
    <row r="59">
      <c r="M59" s="2">
        <f>IF(COUNT($I59:$L59)=0,"",SUM($I59:$L59))</f>
        <v/>
      </c>
    </row>
    <row r="60">
      <c r="M60" s="2">
        <f>IF(COUNT($I60:$L60)=0,"",SUM($I60:$L60))</f>
        <v/>
      </c>
    </row>
    <row r="61">
      <c r="M61" s="2">
        <f>IF(COUNT($I61:$L61)=0,"",SUM($I61:$L61))</f>
        <v/>
      </c>
    </row>
    <row r="62">
      <c r="M62" s="2">
        <f>IF(COUNT($I62:$L62)=0,"",SUM($I62:$L62))</f>
        <v/>
      </c>
    </row>
    <row r="63">
      <c r="M63" s="2">
        <f>IF(COUNT($I63:$L63)=0,"",SUM($I63:$L63))</f>
        <v/>
      </c>
    </row>
    <row r="64">
      <c r="M64" s="2">
        <f>IF(COUNT($I64:$L64)=0,"",SUM($I64:$L64))</f>
        <v/>
      </c>
    </row>
    <row r="65">
      <c r="M65" s="2">
        <f>IF(COUNT($I65:$L65)=0,"",SUM($I65:$L65))</f>
        <v/>
      </c>
    </row>
    <row r="66">
      <c r="M66" s="2">
        <f>IF(COUNT($I66:$L66)=0,"",SUM($I66:$L66))</f>
        <v/>
      </c>
    </row>
    <row r="67">
      <c r="M67" s="2">
        <f>IF(COUNT($I67:$L67)=0,"",SUM($I67:$L67))</f>
        <v/>
      </c>
    </row>
    <row r="68">
      <c r="M68" s="2">
        <f>IF(COUNT($I68:$L68)=0,"",SUM($I68:$L68))</f>
        <v/>
      </c>
    </row>
    <row r="69">
      <c r="M69" s="2">
        <f>IF(COUNT($I69:$L69)=0,"",SUM($I69:$L69))</f>
        <v/>
      </c>
    </row>
    <row r="70">
      <c r="M70" s="2">
        <f>IF(COUNT($I70:$L70)=0,"",SUM($I70:$L70))</f>
        <v/>
      </c>
    </row>
    <row r="71">
      <c r="M71" s="2">
        <f>IF(COUNT($I71:$L71)=0,"",SUM($I71:$L71))</f>
        <v/>
      </c>
    </row>
    <row r="72">
      <c r="M72" s="2">
        <f>IF(COUNT($I72:$L72)=0,"",SUM($I72:$L72))</f>
        <v/>
      </c>
    </row>
    <row r="73">
      <c r="M73" s="2">
        <f>IF(COUNT($I73:$L73)=0,"",SUM($I73:$L73))</f>
        <v/>
      </c>
    </row>
    <row r="74">
      <c r="M74" s="2">
        <f>IF(COUNT($I74:$L74)=0,"",SUM($I74:$L74))</f>
        <v/>
      </c>
    </row>
    <row r="75">
      <c r="M75" s="2">
        <f>IF(COUNT($I75:$L75)=0,"",SUM($I75:$L75))</f>
        <v/>
      </c>
    </row>
    <row r="76">
      <c r="M76" s="2">
        <f>IF(COUNT($I76:$L76)=0,"",SUM($I76:$L76))</f>
        <v/>
      </c>
    </row>
    <row r="77">
      <c r="M77" s="2">
        <f>IF(COUNT($I77:$L77)=0,"",SUM($I77:$L77))</f>
        <v/>
      </c>
    </row>
    <row r="78">
      <c r="M78" s="2">
        <f>IF(COUNT($I78:$L78)=0,"",SUM($I78:$L78))</f>
        <v/>
      </c>
    </row>
    <row r="79">
      <c r="M79" s="2">
        <f>IF(COUNT($I79:$L79)=0,"",SUM($I79:$L79))</f>
        <v/>
      </c>
    </row>
    <row r="80">
      <c r="M80" s="2">
        <f>IF(COUNT($I80:$L80)=0,"",SUM($I80:$L80))</f>
        <v/>
      </c>
    </row>
    <row r="81">
      <c r="M81" s="2">
        <f>IF(COUNT($I81:$L81)=0,"",SUM($I81:$L81))</f>
        <v/>
      </c>
    </row>
    <row r="82">
      <c r="M82" s="2">
        <f>IF(COUNT($I82:$L82)=0,"",SUM($I82:$L82))</f>
        <v/>
      </c>
    </row>
    <row r="83">
      <c r="M83" s="2">
        <f>IF(COUNT($I83:$L83)=0,"",SUM($I83:$L83))</f>
        <v/>
      </c>
    </row>
    <row r="84">
      <c r="M84" s="2">
        <f>IF(COUNT($I84:$L84)=0,"",SUM($I84:$L84))</f>
        <v/>
      </c>
    </row>
    <row r="85">
      <c r="M85" s="2">
        <f>IF(COUNT($I85:$L85)=0,"",SUM($I85:$L85))</f>
        <v/>
      </c>
    </row>
    <row r="86">
      <c r="M86" s="2">
        <f>IF(COUNT($I86:$L86)=0,"",SUM($I86:$L86))</f>
        <v/>
      </c>
    </row>
    <row r="87">
      <c r="M87" s="2">
        <f>IF(COUNT($I87:$L87)=0,"",SUM($I87:$L87))</f>
        <v/>
      </c>
    </row>
    <row r="88">
      <c r="M88" s="2">
        <f>IF(COUNT($I88:$L88)=0,"",SUM($I88:$L88))</f>
        <v/>
      </c>
    </row>
    <row r="89">
      <c r="M89" s="2">
        <f>IF(COUNT($I89:$L89)=0,"",SUM($I89:$L89))</f>
        <v/>
      </c>
    </row>
    <row r="90">
      <c r="M90" s="2">
        <f>IF(COUNT($I90:$L90)=0,"",SUM($I90:$L90))</f>
        <v/>
      </c>
    </row>
    <row r="91">
      <c r="M91" s="2">
        <f>IF(COUNT($I91:$L91)=0,"",SUM($I91:$L91))</f>
        <v/>
      </c>
    </row>
    <row r="92">
      <c r="M92" s="2">
        <f>IF(COUNT($I92:$L92)=0,"",SUM($I92:$L92))</f>
        <v/>
      </c>
    </row>
    <row r="93">
      <c r="M93" s="2">
        <f>IF(COUNT($I93:$L93)=0,"",SUM($I93:$L93))</f>
        <v/>
      </c>
    </row>
    <row r="94">
      <c r="M94" s="2">
        <f>IF(COUNT($I94:$L94)=0,"",SUM($I94:$L94))</f>
        <v/>
      </c>
    </row>
    <row r="95">
      <c r="M95" s="2">
        <f>IF(COUNT($I95:$L95)=0,"",SUM($I95:$L95))</f>
        <v/>
      </c>
    </row>
    <row r="96">
      <c r="M96" s="2">
        <f>IF(COUNT($I96:$L96)=0,"",SUM($I96:$L96))</f>
        <v/>
      </c>
    </row>
    <row r="97">
      <c r="M97" s="2">
        <f>IF(COUNT($I97:$L97)=0,"",SUM($I97:$L97))</f>
        <v/>
      </c>
    </row>
    <row r="98">
      <c r="M98" s="2">
        <f>IF(COUNT($I98:$L98)=0,"",SUM($I98:$L98))</f>
        <v/>
      </c>
    </row>
    <row r="99">
      <c r="M99" s="2">
        <f>IF(COUNT($I99:$L99)=0,"",SUM($I99:$L99))</f>
        <v/>
      </c>
    </row>
    <row r="100">
      <c r="M100" s="2">
        <f>IF(COUNT($I100:$L100)=0,"",SUM($I100:$L100))</f>
        <v/>
      </c>
    </row>
  </sheetData>
  <dataValidations count="2">
    <dataValidation sqref="F2:F100" showDropDown="0" showInputMessage="0" showErrorMessage="0" allowBlank="1" type="list">
      <formula1>"XS,S,M,L,XL,XXL,Free Size,Custom"</formula1>
    </dataValidation>
    <dataValidation sqref="R2:R100" showDropDown="0" showInputMessage="0" showErrorMessage="0" allowBlank="1" type="list">
      <formula1>"Active,Sample,Made to order,Discontinued,Sold-out"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5" customWidth="1" min="5" max="5"/>
    <col width="11" customWidth="1" min="6" max="6"/>
    <col width="11" customWidth="1" min="7" max="7"/>
    <col width="11" customWidth="1" min="8" max="8"/>
    <col width="13" customWidth="1" min="9" max="9"/>
    <col width="12" customWidth="1" min="10" max="10"/>
    <col width="11" customWidth="1" min="11" max="11"/>
    <col width="12" customWidth="1" min="12" max="12"/>
    <col width="13" customWidth="1" min="13" max="13"/>
    <col width="18" customWidth="1" min="14" max="14"/>
    <col width="16" customWidth="1" min="15" max="15"/>
    <col width="16" customWidth="1" min="16" max="16"/>
    <col width="14" customWidth="1" min="17" max="17"/>
    <col width="15" customWidth="1" min="18" max="18"/>
  </cols>
  <sheetData>
    <row r="1">
      <c r="A1" s="1" t="inlineStr">
        <is>
          <t>date</t>
        </is>
      </c>
      <c r="B1" s="1" t="inlineStr">
        <is>
          <t>month</t>
        </is>
      </c>
      <c r="C1" s="1" t="inlineStr">
        <is>
          <t>brand_id</t>
        </is>
      </c>
      <c r="D1" s="1" t="inlineStr">
        <is>
          <t>sku</t>
        </is>
      </c>
      <c r="E1" s="1" t="inlineStr">
        <is>
          <t>style_family</t>
        </is>
      </c>
      <c r="F1" s="1" t="inlineStr">
        <is>
          <t>channel</t>
        </is>
      </c>
      <c r="G1" s="1" t="inlineStr">
        <is>
          <t>category</t>
        </is>
      </c>
      <c r="H1" s="1" t="inlineStr">
        <is>
          <t>size</t>
        </is>
      </c>
      <c r="I1" s="1" t="inlineStr">
        <is>
          <t>collection</t>
        </is>
      </c>
      <c r="J1" s="1" t="inlineStr">
        <is>
          <t>geography</t>
        </is>
      </c>
      <c r="K1" s="1" t="inlineStr">
        <is>
          <t>revenue</t>
        </is>
      </c>
      <c r="L1" s="1" t="inlineStr">
        <is>
          <t>unit_cost</t>
        </is>
      </c>
      <c r="M1" s="1" t="inlineStr">
        <is>
          <t>units_sold</t>
        </is>
      </c>
      <c r="N1" s="1" t="inlineStr">
        <is>
          <t>discount_amount</t>
        </is>
      </c>
      <c r="O1" s="1" t="inlineStr">
        <is>
          <t>returns_units</t>
        </is>
      </c>
      <c r="P1" s="1" t="inlineStr">
        <is>
          <t>returns_value</t>
        </is>
      </c>
      <c r="Q1" s="1" t="inlineStr">
        <is>
          <t>customer_id</t>
        </is>
      </c>
      <c r="R1" s="1" t="inlineStr">
        <is>
          <t>Product_name</t>
        </is>
      </c>
    </row>
    <row r="2">
      <c r="A2" t="inlineStr">
        <is>
          <t>20/06/2026</t>
        </is>
      </c>
      <c r="B2" s="2">
        <f>IFERROR(TEXT($A2,"YYYY-MM"),"")</f>
        <v/>
      </c>
      <c r="C2" t="inlineStr">
        <is>
          <t>HB</t>
        </is>
      </c>
      <c r="D2" t="inlineStr">
        <is>
          <t>HB1PHE-CP</t>
        </is>
      </c>
      <c r="E2" t="inlineStr">
        <is>
          <t>HB1PHE</t>
        </is>
      </c>
      <c r="F2" t="inlineStr">
        <is>
          <t>Retail</t>
        </is>
      </c>
      <c r="G2" t="inlineStr">
        <is>
          <t>Shirt</t>
        </is>
      </c>
      <c r="H2" t="inlineStr">
        <is>
          <t>XS</t>
        </is>
      </c>
      <c r="I2" t="n">
        <v>1</v>
      </c>
      <c r="J2" t="inlineStr">
        <is>
          <t>Mumbai</t>
        </is>
      </c>
      <c r="K2" t="n">
        <v>8000</v>
      </c>
      <c r="M2" t="n">
        <v>1</v>
      </c>
      <c r="N2" t="n">
        <v>4000</v>
      </c>
      <c r="O2" t="n">
        <v>0</v>
      </c>
      <c r="P2" t="n">
        <v>0</v>
      </c>
      <c r="Q2" t="inlineStr">
        <is>
          <t>HB002</t>
        </is>
      </c>
      <c r="R2" t="inlineStr">
        <is>
          <t>Compliments</t>
        </is>
      </c>
    </row>
    <row r="3">
      <c r="A3" t="inlineStr">
        <is>
          <t>17/07/2026</t>
        </is>
      </c>
      <c r="B3" s="2">
        <f>IFERROR(TEXT($A3,"YYYY-MM"),"")</f>
        <v/>
      </c>
      <c r="C3" t="inlineStr">
        <is>
          <t>HB</t>
        </is>
      </c>
      <c r="D3" t="inlineStr">
        <is>
          <t>HB1HE-HH</t>
        </is>
      </c>
      <c r="E3" t="inlineStr">
        <is>
          <t>HB1HE</t>
        </is>
      </c>
      <c r="F3" t="inlineStr">
        <is>
          <t>Retail</t>
        </is>
      </c>
      <c r="G3" t="inlineStr">
        <is>
          <t>Shirt</t>
        </is>
      </c>
      <c r="H3" t="inlineStr">
        <is>
          <t>L</t>
        </is>
      </c>
      <c r="I3" t="n">
        <v>1</v>
      </c>
      <c r="J3" t="inlineStr">
        <is>
          <t>Mumbai</t>
        </is>
      </c>
      <c r="K3" t="n">
        <v>10000</v>
      </c>
      <c r="M3" t="n">
        <v>1</v>
      </c>
      <c r="N3" t="n">
        <v>100</v>
      </c>
      <c r="O3" t="n">
        <v>0</v>
      </c>
      <c r="P3" t="n">
        <v>0</v>
      </c>
      <c r="Q3" t="inlineStr">
        <is>
          <t>HB001</t>
        </is>
      </c>
      <c r="R3" t="inlineStr">
        <is>
          <t>Harm the harmonium</t>
        </is>
      </c>
    </row>
    <row r="4">
      <c r="A4" t="inlineStr">
        <is>
          <t>20/06/2026</t>
        </is>
      </c>
      <c r="B4" s="2">
        <f>IFERROR(TEXT($A4,"YYYY-MM"),"")</f>
        <v/>
      </c>
      <c r="C4" t="inlineStr">
        <is>
          <t>HB</t>
        </is>
      </c>
      <c r="D4" t="inlineStr">
        <is>
          <t>HB1UHE-H7</t>
        </is>
      </c>
      <c r="E4" t="inlineStr">
        <is>
          <t>HB1UHE</t>
        </is>
      </c>
      <c r="F4" t="inlineStr">
        <is>
          <t>Retail</t>
        </is>
      </c>
      <c r="G4" t="inlineStr">
        <is>
          <t>Handkerchief</t>
        </is>
      </c>
      <c r="H4" t="inlineStr">
        <is>
          <t>Free Size</t>
        </is>
      </c>
      <c r="I4" t="n">
        <v>1</v>
      </c>
      <c r="J4" t="inlineStr">
        <is>
          <t>Mumbai</t>
        </is>
      </c>
      <c r="M4" t="n">
        <v>1</v>
      </c>
      <c r="R4" t="inlineStr">
        <is>
          <t>Black with face in the centre</t>
        </is>
      </c>
    </row>
    <row r="5">
      <c r="A5" t="inlineStr">
        <is>
          <t>17/07/2026</t>
        </is>
      </c>
      <c r="B5" s="2">
        <f>IFERROR(TEXT($A5,"YYYY-MM"),"")</f>
        <v/>
      </c>
      <c r="C5" t="inlineStr">
        <is>
          <t>HB</t>
        </is>
      </c>
      <c r="D5" t="inlineStr">
        <is>
          <t>HB1UHE-H7</t>
        </is>
      </c>
      <c r="E5" t="inlineStr">
        <is>
          <t>HB1UHE</t>
        </is>
      </c>
      <c r="F5" t="inlineStr">
        <is>
          <t>Retail</t>
        </is>
      </c>
      <c r="G5" t="inlineStr">
        <is>
          <t>Handkerchief</t>
        </is>
      </c>
      <c r="H5" t="inlineStr">
        <is>
          <t>Free Size</t>
        </is>
      </c>
      <c r="I5" t="n">
        <v>1</v>
      </c>
      <c r="J5" t="inlineStr">
        <is>
          <t>Mumbai</t>
        </is>
      </c>
      <c r="M5" t="n">
        <v>1</v>
      </c>
      <c r="R5" t="inlineStr">
        <is>
          <t>TBC</t>
        </is>
      </c>
    </row>
    <row r="6">
      <c r="B6" s="2">
        <f>IFERROR(TEXT($A6,"YYYY-MM"),"")</f>
        <v/>
      </c>
    </row>
    <row r="7">
      <c r="B7" s="2">
        <f>IFERROR(TEXT($A7,"YYYY-MM"),"")</f>
        <v/>
      </c>
    </row>
    <row r="8">
      <c r="B8" s="2">
        <f>IFERROR(TEXT($A8,"YYYY-MM"),"")</f>
        <v/>
      </c>
    </row>
    <row r="9">
      <c r="B9" s="2">
        <f>IFERROR(TEXT($A9,"YYYY-MM"),"")</f>
        <v/>
      </c>
    </row>
    <row r="10">
      <c r="B10" s="2">
        <f>IFERROR(TEXT($A10,"YYYY-MM"),"")</f>
        <v/>
      </c>
    </row>
    <row r="11">
      <c r="B11" s="2">
        <f>IFERROR(TEXT($A11,"YYYY-MM"),"")</f>
        <v/>
      </c>
    </row>
    <row r="12">
      <c r="B12" s="2">
        <f>IFERROR(TEXT($A12,"YYYY-MM"),"")</f>
        <v/>
      </c>
    </row>
    <row r="13">
      <c r="B13" s="2">
        <f>IFERROR(TEXT($A13,"YYYY-MM"),"")</f>
        <v/>
      </c>
    </row>
    <row r="14">
      <c r="B14" s="2">
        <f>IFERROR(TEXT($A14,"YYYY-MM"),"")</f>
        <v/>
      </c>
    </row>
    <row r="15">
      <c r="B15" s="2">
        <f>IFERROR(TEXT($A15,"YYYY-MM"),"")</f>
        <v/>
      </c>
    </row>
    <row r="16">
      <c r="B16" s="2">
        <f>IFERROR(TEXT($A16,"YYYY-MM"),"")</f>
        <v/>
      </c>
    </row>
    <row r="17">
      <c r="B17" s="2">
        <f>IFERROR(TEXT($A17,"YYYY-MM"),"")</f>
        <v/>
      </c>
    </row>
    <row r="18">
      <c r="B18" s="2">
        <f>IFERROR(TEXT($A18,"YYYY-MM"),"")</f>
        <v/>
      </c>
    </row>
    <row r="19">
      <c r="B19" s="2">
        <f>IFERROR(TEXT($A19,"YYYY-MM"),"")</f>
        <v/>
      </c>
    </row>
    <row r="20">
      <c r="B20" s="2">
        <f>IFERROR(TEXT($A20,"YYYY-MM"),"")</f>
        <v/>
      </c>
    </row>
    <row r="21">
      <c r="B21" s="2">
        <f>IFERROR(TEXT($A21,"YYYY-MM"),"")</f>
        <v/>
      </c>
    </row>
    <row r="22">
      <c r="B22" s="2">
        <f>IFERROR(TEXT($A22,"YYYY-MM"),"")</f>
        <v/>
      </c>
    </row>
    <row r="23">
      <c r="B23" s="2">
        <f>IFERROR(TEXT($A23,"YYYY-MM"),"")</f>
        <v/>
      </c>
    </row>
    <row r="24">
      <c r="B24" s="2">
        <f>IFERROR(TEXT($A24,"YYYY-MM"),"")</f>
        <v/>
      </c>
    </row>
    <row r="25">
      <c r="B25" s="2">
        <f>IFERROR(TEXT($A25,"YYYY-MM"),"")</f>
        <v/>
      </c>
    </row>
    <row r="26">
      <c r="B26" s="2">
        <f>IFERROR(TEXT($A26,"YYYY-MM"),"")</f>
        <v/>
      </c>
    </row>
    <row r="27">
      <c r="B27" s="2">
        <f>IFERROR(TEXT($A27,"YYYY-MM"),"")</f>
        <v/>
      </c>
    </row>
    <row r="28">
      <c r="B28" s="2">
        <f>IFERROR(TEXT($A28,"YYYY-MM"),"")</f>
        <v/>
      </c>
    </row>
    <row r="29">
      <c r="B29" s="2">
        <f>IFERROR(TEXT($A29,"YYYY-MM"),"")</f>
        <v/>
      </c>
    </row>
    <row r="30">
      <c r="B30" s="2">
        <f>IFERROR(TEXT($A30,"YYYY-MM"),"")</f>
        <v/>
      </c>
    </row>
    <row r="31">
      <c r="B31" s="2">
        <f>IFERROR(TEXT($A31,"YYYY-MM"),"")</f>
        <v/>
      </c>
    </row>
    <row r="32">
      <c r="B32" s="2">
        <f>IFERROR(TEXT($A32,"YYYY-MM"),"")</f>
        <v/>
      </c>
    </row>
    <row r="33">
      <c r="B33" s="2">
        <f>IFERROR(TEXT($A33,"YYYY-MM"),"")</f>
        <v/>
      </c>
    </row>
    <row r="34">
      <c r="B34" s="2">
        <f>IFERROR(TEXT($A34,"YYYY-MM"),"")</f>
        <v/>
      </c>
    </row>
    <row r="35">
      <c r="B35" s="2">
        <f>IFERROR(TEXT($A35,"YYYY-MM"),"")</f>
        <v/>
      </c>
    </row>
    <row r="36">
      <c r="B36" s="2">
        <f>IFERROR(TEXT($A36,"YYYY-MM"),"")</f>
        <v/>
      </c>
    </row>
    <row r="37">
      <c r="B37" s="2">
        <f>IFERROR(TEXT($A37,"YYYY-MM"),"")</f>
        <v/>
      </c>
    </row>
    <row r="38">
      <c r="B38" s="2">
        <f>IFERROR(TEXT($A38,"YYYY-MM"),"")</f>
        <v/>
      </c>
    </row>
    <row r="39">
      <c r="B39" s="2">
        <f>IFERROR(TEXT($A39,"YYYY-MM"),"")</f>
        <v/>
      </c>
    </row>
    <row r="40">
      <c r="B40" s="2">
        <f>IFERROR(TEXT($A40,"YYYY-MM"),"")</f>
        <v/>
      </c>
    </row>
    <row r="41">
      <c r="B41" s="2">
        <f>IFERROR(TEXT($A41,"YYYY-MM"),"")</f>
        <v/>
      </c>
    </row>
    <row r="42">
      <c r="B42" s="2">
        <f>IFERROR(TEXT($A42,"YYYY-MM"),"")</f>
        <v/>
      </c>
    </row>
    <row r="43">
      <c r="B43" s="2">
        <f>IFERROR(TEXT($A43,"YYYY-MM"),"")</f>
        <v/>
      </c>
    </row>
    <row r="44">
      <c r="B44" s="2">
        <f>IFERROR(TEXT($A44,"YYYY-MM"),"")</f>
        <v/>
      </c>
    </row>
    <row r="45">
      <c r="B45" s="2">
        <f>IFERROR(TEXT($A45,"YYYY-MM"),"")</f>
        <v/>
      </c>
    </row>
    <row r="46">
      <c r="B46" s="2">
        <f>IFERROR(TEXT($A46,"YYYY-MM"),"")</f>
        <v/>
      </c>
    </row>
    <row r="47">
      <c r="B47" s="2">
        <f>IFERROR(TEXT($A47,"YYYY-MM"),"")</f>
        <v/>
      </c>
    </row>
    <row r="48">
      <c r="B48" s="2">
        <f>IFERROR(TEXT($A48,"YYYY-MM"),"")</f>
        <v/>
      </c>
    </row>
    <row r="49">
      <c r="B49" s="2">
        <f>IFERROR(TEXT($A49,"YYYY-MM"),"")</f>
        <v/>
      </c>
    </row>
    <row r="50">
      <c r="B50" s="2">
        <f>IFERROR(TEXT($A50,"YYYY-MM"),"")</f>
        <v/>
      </c>
    </row>
    <row r="51">
      <c r="B51" s="2">
        <f>IFERROR(TEXT($A51,"YYYY-MM"),"")</f>
        <v/>
      </c>
    </row>
    <row r="52">
      <c r="B52" s="2">
        <f>IFERROR(TEXT($A52,"YYYY-MM"),"")</f>
        <v/>
      </c>
    </row>
    <row r="53">
      <c r="B53" s="2">
        <f>IFERROR(TEXT($A53,"YYYY-MM"),"")</f>
        <v/>
      </c>
    </row>
    <row r="54">
      <c r="B54" s="2">
        <f>IFERROR(TEXT($A54,"YYYY-MM"),"")</f>
        <v/>
      </c>
    </row>
    <row r="55">
      <c r="B55" s="2">
        <f>IFERROR(TEXT($A55,"YYYY-MM"),"")</f>
        <v/>
      </c>
    </row>
    <row r="56">
      <c r="B56" s="2">
        <f>IFERROR(TEXT($A56,"YYYY-MM"),"")</f>
        <v/>
      </c>
    </row>
    <row r="57">
      <c r="B57" s="2">
        <f>IFERROR(TEXT($A57,"YYYY-MM"),"")</f>
        <v/>
      </c>
    </row>
    <row r="58">
      <c r="B58" s="2">
        <f>IFERROR(TEXT($A58,"YYYY-MM"),"")</f>
        <v/>
      </c>
    </row>
    <row r="59">
      <c r="B59" s="2">
        <f>IFERROR(TEXT($A59,"YYYY-MM"),"")</f>
        <v/>
      </c>
    </row>
    <row r="60">
      <c r="B60" s="2">
        <f>IFERROR(TEXT($A60,"YYYY-MM"),"")</f>
        <v/>
      </c>
    </row>
    <row r="61">
      <c r="B61" s="2">
        <f>IFERROR(TEXT($A61,"YYYY-MM"),"")</f>
        <v/>
      </c>
    </row>
    <row r="62">
      <c r="B62" s="2">
        <f>IFERROR(TEXT($A62,"YYYY-MM"),"")</f>
        <v/>
      </c>
    </row>
    <row r="63">
      <c r="B63" s="2">
        <f>IFERROR(TEXT($A63,"YYYY-MM"),"")</f>
        <v/>
      </c>
    </row>
    <row r="64">
      <c r="B64" s="2">
        <f>IFERROR(TEXT($A64,"YYYY-MM"),"")</f>
        <v/>
      </c>
    </row>
    <row r="65">
      <c r="B65" s="2">
        <f>IFERROR(TEXT($A65,"YYYY-MM"),"")</f>
        <v/>
      </c>
    </row>
    <row r="66">
      <c r="B66" s="2">
        <f>IFERROR(TEXT($A66,"YYYY-MM"),"")</f>
        <v/>
      </c>
    </row>
    <row r="67">
      <c r="B67" s="2">
        <f>IFERROR(TEXT($A67,"YYYY-MM"),"")</f>
        <v/>
      </c>
    </row>
    <row r="68">
      <c r="B68" s="2">
        <f>IFERROR(TEXT($A68,"YYYY-MM"),"")</f>
        <v/>
      </c>
    </row>
    <row r="69">
      <c r="B69" s="2">
        <f>IFERROR(TEXT($A69,"YYYY-MM"),"")</f>
        <v/>
      </c>
    </row>
    <row r="70">
      <c r="B70" s="2">
        <f>IFERROR(TEXT($A70,"YYYY-MM"),"")</f>
        <v/>
      </c>
    </row>
    <row r="71">
      <c r="B71" s="2">
        <f>IFERROR(TEXT($A71,"YYYY-MM"),"")</f>
        <v/>
      </c>
    </row>
    <row r="72">
      <c r="B72" s="2">
        <f>IFERROR(TEXT($A72,"YYYY-MM"),"")</f>
        <v/>
      </c>
    </row>
    <row r="73">
      <c r="B73" s="2">
        <f>IFERROR(TEXT($A73,"YYYY-MM"),"")</f>
        <v/>
      </c>
    </row>
    <row r="74">
      <c r="B74" s="2">
        <f>IFERROR(TEXT($A74,"YYYY-MM"),"")</f>
        <v/>
      </c>
    </row>
    <row r="75">
      <c r="B75" s="2">
        <f>IFERROR(TEXT($A75,"YYYY-MM"),"")</f>
        <v/>
      </c>
    </row>
    <row r="76">
      <c r="B76" s="2">
        <f>IFERROR(TEXT($A76,"YYYY-MM"),"")</f>
        <v/>
      </c>
    </row>
    <row r="77">
      <c r="B77" s="2">
        <f>IFERROR(TEXT($A77,"YYYY-MM"),"")</f>
        <v/>
      </c>
    </row>
    <row r="78">
      <c r="B78" s="2">
        <f>IFERROR(TEXT($A78,"YYYY-MM"),"")</f>
        <v/>
      </c>
    </row>
    <row r="79">
      <c r="B79" s="2">
        <f>IFERROR(TEXT($A79,"YYYY-MM"),"")</f>
        <v/>
      </c>
    </row>
    <row r="80">
      <c r="B80" s="2">
        <f>IFERROR(TEXT($A80,"YYYY-MM"),"")</f>
        <v/>
      </c>
    </row>
    <row r="81">
      <c r="B81" s="2">
        <f>IFERROR(TEXT($A81,"YYYY-MM"),"")</f>
        <v/>
      </c>
    </row>
    <row r="82">
      <c r="B82" s="2">
        <f>IFERROR(TEXT($A82,"YYYY-MM"),"")</f>
        <v/>
      </c>
    </row>
    <row r="83">
      <c r="B83" s="2">
        <f>IFERROR(TEXT($A83,"YYYY-MM"),"")</f>
        <v/>
      </c>
    </row>
    <row r="84">
      <c r="B84" s="2">
        <f>IFERROR(TEXT($A84,"YYYY-MM"),"")</f>
        <v/>
      </c>
    </row>
    <row r="85">
      <c r="B85" s="2">
        <f>IFERROR(TEXT($A85,"YYYY-MM"),"")</f>
        <v/>
      </c>
    </row>
    <row r="86">
      <c r="B86" s="2">
        <f>IFERROR(TEXT($A86,"YYYY-MM"),"")</f>
        <v/>
      </c>
    </row>
    <row r="87">
      <c r="B87" s="2">
        <f>IFERROR(TEXT($A87,"YYYY-MM"),"")</f>
        <v/>
      </c>
    </row>
    <row r="88">
      <c r="B88" s="2">
        <f>IFERROR(TEXT($A88,"YYYY-MM"),"")</f>
        <v/>
      </c>
    </row>
    <row r="89">
      <c r="B89" s="2">
        <f>IFERROR(TEXT($A89,"YYYY-MM"),"")</f>
        <v/>
      </c>
    </row>
    <row r="90">
      <c r="B90" s="2">
        <f>IFERROR(TEXT($A90,"YYYY-MM"),"")</f>
        <v/>
      </c>
    </row>
    <row r="91">
      <c r="B91" s="2">
        <f>IFERROR(TEXT($A91,"YYYY-MM"),"")</f>
        <v/>
      </c>
    </row>
    <row r="92">
      <c r="B92" s="2">
        <f>IFERROR(TEXT($A92,"YYYY-MM"),"")</f>
        <v/>
      </c>
    </row>
    <row r="93">
      <c r="B93" s="2">
        <f>IFERROR(TEXT($A93,"YYYY-MM"),"")</f>
        <v/>
      </c>
    </row>
    <row r="94">
      <c r="B94" s="2">
        <f>IFERROR(TEXT($A94,"YYYY-MM"),"")</f>
        <v/>
      </c>
    </row>
    <row r="95">
      <c r="B95" s="2">
        <f>IFERROR(TEXT($A95,"YYYY-MM"),"")</f>
        <v/>
      </c>
    </row>
    <row r="96">
      <c r="B96" s="2">
        <f>IFERROR(TEXT($A96,"YYYY-MM"),"")</f>
        <v/>
      </c>
    </row>
    <row r="97">
      <c r="B97" s="2">
        <f>IFERROR(TEXT($A97,"YYYY-MM"),"")</f>
        <v/>
      </c>
    </row>
    <row r="98">
      <c r="B98" s="2">
        <f>IFERROR(TEXT($A98,"YYYY-MM"),"")</f>
        <v/>
      </c>
    </row>
    <row r="99">
      <c r="B99" s="2">
        <f>IFERROR(TEXT($A99,"YYYY-MM"),"")</f>
        <v/>
      </c>
    </row>
    <row r="100">
      <c r="B100" s="2">
        <f>IFERROR(TEXT($A100,"YYYY-MM"),"")</f>
        <v/>
      </c>
    </row>
  </sheetData>
  <dataValidations count="2">
    <dataValidation sqref="H2:H100" showDropDown="0" showInputMessage="0" showErrorMessage="0" allowBlank="1" type="list">
      <formula1>"XS,S,M,L,XL,XXL,Free Size,Custom"</formula1>
    </dataValidation>
    <dataValidation sqref="E2:E1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6" customWidth="1" min="4" max="4"/>
    <col width="13" customWidth="1" min="5" max="5"/>
    <col width="13" customWidth="1" min="6" max="6"/>
    <col width="12" customWidth="1" min="7" max="7"/>
    <col width="11" customWidth="1" min="8" max="8"/>
    <col width="13" customWidth="1" min="9" max="9"/>
    <col width="15" customWidth="1" min="10" max="10"/>
    <col width="11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month</t>
        </is>
      </c>
      <c r="C1" s="1" t="inlineStr">
        <is>
          <t>brand_id</t>
        </is>
      </c>
      <c r="D1" s="1" t="inlineStr">
        <is>
          <t>cost_function</t>
        </is>
      </c>
      <c r="E1" s="1" t="inlineStr">
        <is>
          <t>cost_stage</t>
        </is>
      </c>
      <c r="F1" s="1" t="inlineStr">
        <is>
          <t>department</t>
        </is>
      </c>
      <c r="G1" s="1" t="inlineStr">
        <is>
          <t>line_item</t>
        </is>
      </c>
      <c r="H1" s="1" t="inlineStr">
        <is>
          <t>amount</t>
        </is>
      </c>
      <c r="I1" s="1" t="inlineStr">
        <is>
          <t>gst_amount</t>
        </is>
      </c>
      <c r="J1" s="1" t="inlineStr">
        <is>
          <t>style_family</t>
        </is>
      </c>
      <c r="K1" s="1" t="inlineStr">
        <is>
          <t>vendor</t>
        </is>
      </c>
      <c r="L1" s="1" t="inlineStr">
        <is>
          <t>paid</t>
        </is>
      </c>
    </row>
    <row r="2">
      <c r="A2" t="inlineStr">
        <is>
          <t>04/01/2026</t>
        </is>
      </c>
      <c r="B2" s="2">
        <f>IFERROR(TEXT($A2,"YYYY-MM"),"")</f>
        <v/>
      </c>
      <c r="C2" t="inlineStr">
        <is>
          <t>HB</t>
        </is>
      </c>
      <c r="D2" t="inlineStr">
        <is>
          <t>Product</t>
        </is>
      </c>
      <c r="E2" t="inlineStr">
        <is>
          <t>Experiment</t>
        </is>
      </c>
      <c r="F2" t="inlineStr">
        <is>
          <t>Product Design</t>
        </is>
      </c>
      <c r="G2" t="inlineStr">
        <is>
          <t>Jacquard fabric paints</t>
        </is>
      </c>
      <c r="H2" t="n">
        <v>3400</v>
      </c>
      <c r="J2" t="inlineStr">
        <is>
          <t>HBIHP</t>
        </is>
      </c>
      <c r="L2" t="inlineStr">
        <is>
          <t>yes</t>
        </is>
      </c>
    </row>
    <row r="3">
      <c r="A3" t="inlineStr">
        <is>
          <t>04/01/2026</t>
        </is>
      </c>
      <c r="B3" s="2">
        <f>IFERROR(TEXT($A3,"YYYY-MM"),"")</f>
        <v/>
      </c>
      <c r="C3" t="inlineStr">
        <is>
          <t>HB</t>
        </is>
      </c>
      <c r="D3" t="inlineStr">
        <is>
          <t>Product</t>
        </is>
      </c>
      <c r="E3" t="inlineStr">
        <is>
          <t>Final Production</t>
        </is>
      </c>
      <c r="F3" t="inlineStr">
        <is>
          <t>Product Procurement</t>
        </is>
      </c>
      <c r="G3" t="inlineStr">
        <is>
          <t>10 meters Bamboo Fabric</t>
        </is>
      </c>
      <c r="H3" t="n">
        <v>6300</v>
      </c>
      <c r="J3" t="inlineStr">
        <is>
          <t>HB1HE</t>
        </is>
      </c>
      <c r="L3" t="inlineStr">
        <is>
          <t>yes</t>
        </is>
      </c>
    </row>
    <row r="4">
      <c r="A4" t="inlineStr">
        <is>
          <t>04/01/2026</t>
        </is>
      </c>
      <c r="B4" s="2">
        <f>IFERROR(TEXT($A4,"YYYY-MM"),"")</f>
        <v/>
      </c>
      <c r="C4" t="inlineStr">
        <is>
          <t>HB</t>
        </is>
      </c>
      <c r="D4" t="inlineStr">
        <is>
          <t>Product</t>
        </is>
      </c>
      <c r="E4" t="inlineStr">
        <is>
          <t>Final Production</t>
        </is>
      </c>
      <c r="F4" t="inlineStr">
        <is>
          <t>Product Design</t>
        </is>
      </c>
      <c r="G4" t="inlineStr">
        <is>
          <t>Printing</t>
        </is>
      </c>
      <c r="H4" t="n">
        <v>1400</v>
      </c>
      <c r="J4" t="inlineStr">
        <is>
          <t>HB1DP</t>
        </is>
      </c>
      <c r="L4" t="inlineStr">
        <is>
          <t>yes</t>
        </is>
      </c>
    </row>
    <row r="5">
      <c r="A5" t="inlineStr">
        <is>
          <t>04/01/2026</t>
        </is>
      </c>
      <c r="B5" s="2">
        <f>IFERROR(TEXT($A5,"YYYY-MM"),"")</f>
        <v/>
      </c>
      <c r="C5" t="inlineStr">
        <is>
          <t>HB</t>
        </is>
      </c>
      <c r="D5" t="inlineStr">
        <is>
          <t>Product</t>
        </is>
      </c>
      <c r="E5" t="inlineStr">
        <is>
          <t>Final Production</t>
        </is>
      </c>
      <c r="F5" t="inlineStr">
        <is>
          <t>Product Design</t>
        </is>
      </c>
      <c r="G5" t="inlineStr">
        <is>
          <t>material for cutout sizing</t>
        </is>
      </c>
      <c r="H5" t="n">
        <v>1000</v>
      </c>
      <c r="J5" t="inlineStr">
        <is>
          <t>HB1UHE</t>
        </is>
      </c>
      <c r="L5" t="inlineStr">
        <is>
          <t>yes</t>
        </is>
      </c>
    </row>
    <row r="6">
      <c r="A6" t="inlineStr">
        <is>
          <t>04/01/2026</t>
        </is>
      </c>
      <c r="B6" s="2">
        <f>IFERROR(TEXT($A6,"YYYY-MM"),"")</f>
        <v/>
      </c>
      <c r="C6" t="inlineStr">
        <is>
          <t>HB</t>
        </is>
      </c>
      <c r="D6" t="inlineStr">
        <is>
          <t>Product</t>
        </is>
      </c>
      <c r="E6" t="inlineStr">
        <is>
          <t>Final Production</t>
        </is>
      </c>
      <c r="F6" t="inlineStr">
        <is>
          <t>Product Procurement</t>
        </is>
      </c>
      <c r="G6" t="inlineStr">
        <is>
          <t>Upcycled fabrics</t>
        </is>
      </c>
      <c r="H6" t="n">
        <v>1500</v>
      </c>
      <c r="J6" t="inlineStr">
        <is>
          <t>HB1UP</t>
        </is>
      </c>
      <c r="L6" t="inlineStr">
        <is>
          <t>yes</t>
        </is>
      </c>
    </row>
    <row r="7">
      <c r="A7" t="inlineStr">
        <is>
          <t>04/01/2026</t>
        </is>
      </c>
      <c r="B7" s="2">
        <f>IFERROR(TEXT($A7,"YYYY-MM"),"")</f>
        <v/>
      </c>
      <c r="C7" t="inlineStr">
        <is>
          <t>HB</t>
        </is>
      </c>
      <c r="D7" t="inlineStr">
        <is>
          <t>Product</t>
        </is>
      </c>
      <c r="E7" t="inlineStr">
        <is>
          <t>Final Production</t>
        </is>
      </c>
      <c r="F7" t="inlineStr">
        <is>
          <t>Product Procurement</t>
        </is>
      </c>
      <c r="G7" t="inlineStr">
        <is>
          <t>15 meters Bamboo Fabric</t>
        </is>
      </c>
      <c r="H7" t="n">
        <v>8100</v>
      </c>
      <c r="J7" t="inlineStr">
        <is>
          <t>HB1HE</t>
        </is>
      </c>
      <c r="L7" t="inlineStr">
        <is>
          <t>yes</t>
        </is>
      </c>
    </row>
    <row r="8">
      <c r="A8" t="inlineStr">
        <is>
          <t>04/01/2026</t>
        </is>
      </c>
      <c r="B8" s="2">
        <f>IFERROR(TEXT($A8,"YYYY-MM"),"")</f>
        <v/>
      </c>
      <c r="C8" t="inlineStr">
        <is>
          <t>HB</t>
        </is>
      </c>
      <c r="D8" t="inlineStr">
        <is>
          <t>Product</t>
        </is>
      </c>
      <c r="E8" t="inlineStr">
        <is>
          <t>Final Production</t>
        </is>
      </c>
      <c r="F8" t="inlineStr">
        <is>
          <t>Product Design</t>
        </is>
      </c>
      <c r="G8" t="inlineStr">
        <is>
          <t>Threads</t>
        </is>
      </c>
      <c r="H8" t="n">
        <v>1000</v>
      </c>
      <c r="J8" t="inlineStr">
        <is>
          <t>HB1HE</t>
        </is>
      </c>
      <c r="L8" t="inlineStr">
        <is>
          <t>yes</t>
        </is>
      </c>
    </row>
    <row r="9">
      <c r="A9" t="inlineStr">
        <is>
          <t>04/01/2026</t>
        </is>
      </c>
      <c r="B9" s="2">
        <f>IFERROR(TEXT($A9,"YYYY-MM"),"")</f>
        <v/>
      </c>
      <c r="C9" t="inlineStr">
        <is>
          <t>HB</t>
        </is>
      </c>
      <c r="D9" t="inlineStr">
        <is>
          <t>Product</t>
        </is>
      </c>
      <c r="E9" t="inlineStr">
        <is>
          <t>Experiment</t>
        </is>
      </c>
      <c r="F9" t="inlineStr">
        <is>
          <t>Product Design</t>
        </is>
      </c>
      <c r="G9" t="inlineStr">
        <is>
          <t>linocut material</t>
        </is>
      </c>
      <c r="H9" t="n">
        <v>3000</v>
      </c>
      <c r="J9" t="inlineStr">
        <is>
          <t>HB1DP</t>
        </is>
      </c>
      <c r="L9" t="inlineStr">
        <is>
          <t>yes</t>
        </is>
      </c>
    </row>
    <row r="10">
      <c r="A10" t="inlineStr">
        <is>
          <t>04/01/2026</t>
        </is>
      </c>
      <c r="B10" s="2">
        <f>IFERROR(TEXT($A10,"YYYY-MM"),"")</f>
        <v/>
      </c>
      <c r="C10" t="inlineStr">
        <is>
          <t>HB</t>
        </is>
      </c>
      <c r="D10" t="inlineStr">
        <is>
          <t>Product</t>
        </is>
      </c>
      <c r="E10" t="inlineStr">
        <is>
          <t>Final Production</t>
        </is>
      </c>
      <c r="F10" t="inlineStr">
        <is>
          <t>Product Design</t>
        </is>
      </c>
      <c r="G10" t="inlineStr">
        <is>
          <t>Printing</t>
        </is>
      </c>
      <c r="H10" t="n">
        <v>4000</v>
      </c>
      <c r="J10" t="inlineStr">
        <is>
          <t>HB1DP</t>
        </is>
      </c>
      <c r="L10" t="inlineStr">
        <is>
          <t>yes</t>
        </is>
      </c>
    </row>
    <row r="11">
      <c r="A11" t="inlineStr">
        <is>
          <t>04/01/2026</t>
        </is>
      </c>
      <c r="B11" s="2">
        <f>IFERROR(TEXT($A11,"YYYY-MM"),"")</f>
        <v/>
      </c>
      <c r="C11" t="inlineStr">
        <is>
          <t>HB</t>
        </is>
      </c>
      <c r="D11" t="inlineStr">
        <is>
          <t>Product</t>
        </is>
      </c>
      <c r="E11" t="inlineStr">
        <is>
          <t>Final Production</t>
        </is>
      </c>
      <c r="F11" t="inlineStr">
        <is>
          <t>Product Design</t>
        </is>
      </c>
      <c r="G11" t="inlineStr">
        <is>
          <t xml:space="preserve">Bamboo fabric &lt;meters confirm&gt; </t>
        </is>
      </c>
      <c r="H11" t="n">
        <v>3000</v>
      </c>
      <c r="J11" t="inlineStr">
        <is>
          <t>HB1HE</t>
        </is>
      </c>
      <c r="L11" t="inlineStr">
        <is>
          <t>yes</t>
        </is>
      </c>
    </row>
    <row r="12">
      <c r="A12" t="inlineStr">
        <is>
          <t>04/01/2026</t>
        </is>
      </c>
      <c r="B12" s="2">
        <f>IFERROR(TEXT($A12,"YYYY-MM"),"")</f>
        <v/>
      </c>
      <c r="C12" t="inlineStr">
        <is>
          <t>HB</t>
        </is>
      </c>
      <c r="D12" t="inlineStr">
        <is>
          <t>Marketing</t>
        </is>
      </c>
      <c r="E12" t="inlineStr">
        <is>
          <t>Final Production</t>
        </is>
      </c>
      <c r="F12" t="inlineStr">
        <is>
          <t xml:space="preserve">Digital </t>
        </is>
      </c>
      <c r="G12" t="inlineStr">
        <is>
          <t>Hullabalooo website - One Time</t>
        </is>
      </c>
      <c r="H12" t="n">
        <v>46000</v>
      </c>
      <c r="L12" t="inlineStr">
        <is>
          <t>pending</t>
        </is>
      </c>
    </row>
    <row r="13">
      <c r="A13" t="inlineStr">
        <is>
          <t>04/01/2026</t>
        </is>
      </c>
      <c r="B13" s="2">
        <f>IFERROR(TEXT($A13,"YYYY-MM"),"")</f>
        <v/>
      </c>
      <c r="C13" t="inlineStr">
        <is>
          <t>GB</t>
        </is>
      </c>
      <c r="D13" t="inlineStr">
        <is>
          <t>Product</t>
        </is>
      </c>
      <c r="E13" t="inlineStr">
        <is>
          <t>Final Production</t>
        </is>
      </c>
      <c r="F13" t="inlineStr">
        <is>
          <t>Product Design</t>
        </is>
      </c>
      <c r="G13" t="inlineStr">
        <is>
          <t>jaipur sample (bapu bazar) - Linen</t>
        </is>
      </c>
      <c r="H13" t="n">
        <v>9000</v>
      </c>
      <c r="J13" t="inlineStr">
        <is>
          <t>HB1HE</t>
        </is>
      </c>
      <c r="K13" t="inlineStr">
        <is>
          <t>Jaipur -Baapu Baazar</t>
        </is>
      </c>
      <c r="L13" t="inlineStr">
        <is>
          <t>yes</t>
        </is>
      </c>
    </row>
    <row r="14">
      <c r="A14" t="inlineStr">
        <is>
          <t>04/01/2026</t>
        </is>
      </c>
      <c r="B14" s="2">
        <f>IFERROR(TEXT($A14,"YYYY-MM"),"")</f>
        <v/>
      </c>
      <c r="C14" t="inlineStr">
        <is>
          <t>HB</t>
        </is>
      </c>
      <c r="D14" t="inlineStr">
        <is>
          <t>Product</t>
        </is>
      </c>
      <c r="E14" t="inlineStr">
        <is>
          <t>Final Production</t>
        </is>
      </c>
      <c r="F14" t="inlineStr">
        <is>
          <t>Product Design</t>
        </is>
      </c>
      <c r="G14" t="inlineStr">
        <is>
          <t>jaipur sample (fabriclore)big office</t>
        </is>
      </c>
      <c r="H14" t="n">
        <v>3245</v>
      </c>
      <c r="J14" t="inlineStr">
        <is>
          <t>HB1HE</t>
        </is>
      </c>
      <c r="K14" t="inlineStr">
        <is>
          <t>Fabriclore</t>
        </is>
      </c>
      <c r="L14" t="inlineStr">
        <is>
          <t>yes</t>
        </is>
      </c>
    </row>
    <row r="15">
      <c r="A15" t="inlineStr">
        <is>
          <t>04/01/2026</t>
        </is>
      </c>
      <c r="B15" s="2">
        <f>IFERROR(TEXT($A15,"YYYY-MM"),"")</f>
        <v/>
      </c>
      <c r="C15" t="inlineStr">
        <is>
          <t>HB</t>
        </is>
      </c>
      <c r="D15" t="inlineStr">
        <is>
          <t>Product</t>
        </is>
      </c>
      <c r="E15" t="inlineStr">
        <is>
          <t>Final Production</t>
        </is>
      </c>
      <c r="F15" t="inlineStr">
        <is>
          <t>Product Design</t>
        </is>
      </c>
      <c r="G15" t="inlineStr">
        <is>
          <t>Printing</t>
        </is>
      </c>
      <c r="H15" t="n">
        <v>4000</v>
      </c>
      <c r="J15" t="inlineStr">
        <is>
          <t>HB1PHE</t>
        </is>
      </c>
      <c r="L15" t="inlineStr">
        <is>
          <t>yes</t>
        </is>
      </c>
    </row>
    <row r="16">
      <c r="A16" t="inlineStr">
        <is>
          <t>06/01/2026</t>
        </is>
      </c>
      <c r="B16" s="2">
        <f>IFERROR(TEXT($A16,"YYYY-MM"),"")</f>
        <v/>
      </c>
      <c r="C16" t="inlineStr">
        <is>
          <t>HB</t>
        </is>
      </c>
      <c r="D16" t="inlineStr">
        <is>
          <t>Product</t>
        </is>
      </c>
      <c r="E16" t="inlineStr">
        <is>
          <t>Final Production</t>
        </is>
      </c>
      <c r="F16" t="inlineStr">
        <is>
          <t>Product Design</t>
        </is>
      </c>
      <c r="G16" t="inlineStr">
        <is>
          <t>Stitching for collection</t>
        </is>
      </c>
      <c r="H16" t="n">
        <v>1800</v>
      </c>
      <c r="J16" t="inlineStr">
        <is>
          <t>HB1HE</t>
        </is>
      </c>
      <c r="L16" t="inlineStr">
        <is>
          <t>yes</t>
        </is>
      </c>
    </row>
    <row r="17">
      <c r="A17" t="inlineStr">
        <is>
          <t>06/01/2026</t>
        </is>
      </c>
      <c r="B17" s="2">
        <f>IFERROR(TEXT($A17,"YYYY-MM"),"")</f>
        <v/>
      </c>
      <c r="C17" t="inlineStr">
        <is>
          <t>HB</t>
        </is>
      </c>
      <c r="D17" t="inlineStr">
        <is>
          <t>Marketing</t>
        </is>
      </c>
      <c r="E17" t="inlineStr">
        <is>
          <t>Final Production</t>
        </is>
      </c>
      <c r="F17" t="inlineStr">
        <is>
          <t xml:space="preserve">Media Production </t>
        </is>
      </c>
      <c r="G17" t="inlineStr">
        <is>
          <t>1st Collection Shoot - Product shoot without Model</t>
        </is>
      </c>
      <c r="H17" t="n">
        <v>10500</v>
      </c>
    </row>
    <row r="18">
      <c r="A18" t="inlineStr">
        <is>
          <t>06/01/2026</t>
        </is>
      </c>
      <c r="B18" s="2">
        <f>IFERROR(TEXT($A18,"YYYY-MM"),"")</f>
        <v/>
      </c>
      <c r="C18" t="inlineStr">
        <is>
          <t>HB</t>
        </is>
      </c>
      <c r="D18" t="inlineStr">
        <is>
          <t>Marketing</t>
        </is>
      </c>
      <c r="E18" t="inlineStr">
        <is>
          <t>Final Production</t>
        </is>
      </c>
      <c r="F18" t="inlineStr">
        <is>
          <t xml:space="preserve">Media Production </t>
        </is>
      </c>
      <c r="G18" t="inlineStr">
        <is>
          <t>1st Collection Shoot - Petrol</t>
        </is>
      </c>
      <c r="H18" t="n">
        <v>5000</v>
      </c>
    </row>
    <row r="19">
      <c r="A19" t="inlineStr">
        <is>
          <t>06/01/2026</t>
        </is>
      </c>
      <c r="B19" s="2">
        <f>IFERROR(TEXT($A19,"YYYY-MM"),"")</f>
        <v/>
      </c>
      <c r="C19" t="inlineStr">
        <is>
          <t>HB</t>
        </is>
      </c>
      <c r="D19" t="inlineStr">
        <is>
          <t>Marketing</t>
        </is>
      </c>
      <c r="E19" t="inlineStr">
        <is>
          <t>Final Production</t>
        </is>
      </c>
      <c r="F19" t="inlineStr">
        <is>
          <t xml:space="preserve">Media Production </t>
        </is>
      </c>
      <c r="G19" t="inlineStr">
        <is>
          <t>1st Collection Shoot - Food</t>
        </is>
      </c>
      <c r="H19" t="n">
        <v>8000</v>
      </c>
    </row>
    <row r="20">
      <c r="A20" t="inlineStr">
        <is>
          <t>06/01/2026</t>
        </is>
      </c>
      <c r="B20" s="2">
        <f>IFERROR(TEXT($A20,"YYYY-MM"),"")</f>
        <v/>
      </c>
      <c r="C20" t="inlineStr">
        <is>
          <t>HB</t>
        </is>
      </c>
      <c r="D20" t="inlineStr">
        <is>
          <t>Marketing</t>
        </is>
      </c>
      <c r="E20" t="inlineStr">
        <is>
          <t>Final Production</t>
        </is>
      </c>
      <c r="F20" t="inlineStr">
        <is>
          <t xml:space="preserve">Media Production </t>
        </is>
      </c>
      <c r="G20" t="inlineStr">
        <is>
          <t>1st Collection Shoot - Stay</t>
        </is>
      </c>
      <c r="H20" t="n">
        <v>3000</v>
      </c>
    </row>
    <row r="21">
      <c r="A21" t="inlineStr">
        <is>
          <t>06/01/2026</t>
        </is>
      </c>
      <c r="B21" s="2">
        <f>IFERROR(TEXT($A21,"YYYY-MM"),"")</f>
        <v/>
      </c>
      <c r="C21" t="inlineStr">
        <is>
          <t>HB</t>
        </is>
      </c>
      <c r="D21" t="inlineStr">
        <is>
          <t>Marketing</t>
        </is>
      </c>
      <c r="E21" t="inlineStr">
        <is>
          <t>Final Production</t>
        </is>
      </c>
      <c r="F21" t="inlineStr">
        <is>
          <t xml:space="preserve">Media Production </t>
        </is>
      </c>
      <c r="G21" t="inlineStr">
        <is>
          <t>1st Collection Shoot - Equipment | Camera, Lights and Production of films</t>
        </is>
      </c>
      <c r="H21" t="n">
        <v>15000</v>
      </c>
    </row>
    <row r="22">
      <c r="A22" t="inlineStr">
        <is>
          <t>06/01/2026</t>
        </is>
      </c>
      <c r="B22" s="2">
        <f>IFERROR(TEXT($A22,"YYYY-MM"),"")</f>
        <v/>
      </c>
      <c r="C22" t="inlineStr">
        <is>
          <t>HB</t>
        </is>
      </c>
      <c r="D22" t="inlineStr">
        <is>
          <t>Marketing</t>
        </is>
      </c>
      <c r="E22" t="inlineStr">
        <is>
          <t>Final Production</t>
        </is>
      </c>
      <c r="F22" t="inlineStr">
        <is>
          <t xml:space="preserve">Media Production </t>
        </is>
      </c>
      <c r="G22" t="inlineStr">
        <is>
          <t>1st Collection Shoot - MUA</t>
        </is>
      </c>
      <c r="H22" t="n">
        <v>8000</v>
      </c>
    </row>
    <row r="23">
      <c r="A23" t="inlineStr">
        <is>
          <t>06/01/2026</t>
        </is>
      </c>
      <c r="B23" s="2">
        <f>IFERROR(TEXT($A23,"YYYY-MM"),"")</f>
        <v/>
      </c>
      <c r="C23" t="inlineStr">
        <is>
          <t>HB</t>
        </is>
      </c>
      <c r="D23" t="inlineStr">
        <is>
          <t>Marketing</t>
        </is>
      </c>
      <c r="E23" t="inlineStr">
        <is>
          <t>Final Production</t>
        </is>
      </c>
      <c r="F23" t="inlineStr">
        <is>
          <t xml:space="preserve">Media Production </t>
        </is>
      </c>
      <c r="G23" t="inlineStr">
        <is>
          <t>1st Collection Shoot - Reccee and resources</t>
        </is>
      </c>
      <c r="H23" t="n">
        <v>10000</v>
      </c>
    </row>
    <row r="24">
      <c r="A24" t="inlineStr">
        <is>
          <t>06/01/2026</t>
        </is>
      </c>
      <c r="B24" s="2">
        <f>IFERROR(TEXT($A24,"YYYY-MM"),"")</f>
        <v/>
      </c>
      <c r="C24" t="inlineStr">
        <is>
          <t>PS</t>
        </is>
      </c>
      <c r="D24" t="inlineStr">
        <is>
          <t>Marketing</t>
        </is>
      </c>
      <c r="E24" t="inlineStr">
        <is>
          <t>Final Production</t>
        </is>
      </c>
      <c r="F24" t="inlineStr">
        <is>
          <t xml:space="preserve">Digital </t>
        </is>
      </c>
      <c r="G24" t="inlineStr">
        <is>
          <t>Hostinger</t>
        </is>
      </c>
      <c r="H24" t="n">
        <v>5500</v>
      </c>
    </row>
    <row r="25">
      <c r="A25" t="inlineStr">
        <is>
          <t>06/01/2026</t>
        </is>
      </c>
      <c r="B25" s="2">
        <f>IFERROR(TEXT($A25,"YYYY-MM"),"")</f>
        <v/>
      </c>
      <c r="C25" t="inlineStr">
        <is>
          <t>PS</t>
        </is>
      </c>
      <c r="D25" t="inlineStr">
        <is>
          <t>Marketing</t>
        </is>
      </c>
      <c r="E25" t="inlineStr">
        <is>
          <t>Final Production</t>
        </is>
      </c>
      <c r="F25" t="inlineStr">
        <is>
          <t xml:space="preserve">Digital </t>
        </is>
      </c>
      <c r="G25" t="inlineStr">
        <is>
          <t>Elementor - HB + PS</t>
        </is>
      </c>
      <c r="H25" t="n">
        <v>12000</v>
      </c>
    </row>
    <row r="26">
      <c r="A26" t="inlineStr">
        <is>
          <t>07/01/2026</t>
        </is>
      </c>
      <c r="B26" s="2">
        <f>IFERROR(TEXT($A26,"YYYY-MM"),"")</f>
        <v/>
      </c>
      <c r="C26" t="inlineStr">
        <is>
          <t>PS</t>
        </is>
      </c>
      <c r="D26" t="inlineStr">
        <is>
          <t>Product</t>
        </is>
      </c>
      <c r="E26" t="inlineStr">
        <is>
          <t>Final Production</t>
        </is>
      </c>
      <c r="F26" t="inlineStr">
        <is>
          <t>Product Design</t>
        </is>
      </c>
      <c r="G26" t="inlineStr">
        <is>
          <t xml:space="preserve">Digital Print </t>
        </is>
      </c>
      <c r="J26" t="inlineStr">
        <is>
          <t>PS1DP</t>
        </is>
      </c>
    </row>
    <row r="27">
      <c r="A27" t="inlineStr">
        <is>
          <t>07/01/2026</t>
        </is>
      </c>
      <c r="B27" s="2">
        <f>IFERROR(TEXT($A27,"YYYY-MM"),"")</f>
        <v/>
      </c>
      <c r="C27" t="inlineStr">
        <is>
          <t>PS</t>
        </is>
      </c>
      <c r="D27" t="inlineStr">
        <is>
          <t>Product</t>
        </is>
      </c>
      <c r="E27" t="inlineStr">
        <is>
          <t>Final Production</t>
        </is>
      </c>
      <c r="F27" t="inlineStr">
        <is>
          <t>Product Design</t>
        </is>
      </c>
      <c r="G27" t="inlineStr">
        <is>
          <t>Egpytian Cotton 32M</t>
        </is>
      </c>
      <c r="H27" t="n">
        <v>6000</v>
      </c>
      <c r="J27" t="inlineStr">
        <is>
          <t>PS1DP</t>
        </is>
      </c>
      <c r="K27" t="inlineStr">
        <is>
          <t>Mangaldas Market</t>
        </is>
      </c>
    </row>
    <row r="28">
      <c r="A28" t="inlineStr">
        <is>
          <t>07/01/2026</t>
        </is>
      </c>
      <c r="B28" s="2">
        <f>IFERROR(TEXT($A28,"YYYY-MM"),"")</f>
        <v/>
      </c>
      <c r="C28" t="inlineStr">
        <is>
          <t>PS</t>
        </is>
      </c>
      <c r="D28" t="inlineStr">
        <is>
          <t xml:space="preserve">Business </t>
        </is>
      </c>
      <c r="E28" t="inlineStr">
        <is>
          <t>Final Production</t>
        </is>
      </c>
      <c r="F28" t="inlineStr">
        <is>
          <t>Legal</t>
        </is>
      </c>
      <c r="G28" t="inlineStr">
        <is>
          <t>IP Registration</t>
        </is>
      </c>
      <c r="H28" t="n">
        <v>15000</v>
      </c>
      <c r="K28" t="inlineStr">
        <is>
          <t xml:space="preserve">Bhavik Savla </t>
        </is>
      </c>
    </row>
    <row r="29">
      <c r="B29" s="2">
        <f>IFERROR(TEXT($A29,"YYYY-MM"),"")</f>
        <v/>
      </c>
    </row>
    <row r="30">
      <c r="B30" s="2">
        <f>IFERROR(TEXT($A30,"YYYY-MM"),"")</f>
        <v/>
      </c>
    </row>
    <row r="31">
      <c r="B31" s="2">
        <f>IFERROR(TEXT($A31,"YYYY-MM"),"")</f>
        <v/>
      </c>
    </row>
    <row r="32">
      <c r="B32" s="2">
        <f>IFERROR(TEXT($A32,"YYYY-MM"),"")</f>
        <v/>
      </c>
    </row>
    <row r="33">
      <c r="B33" s="2">
        <f>IFERROR(TEXT($A33,"YYYY-MM"),"")</f>
        <v/>
      </c>
    </row>
    <row r="34">
      <c r="B34" s="2">
        <f>IFERROR(TEXT($A34,"YYYY-MM"),"")</f>
        <v/>
      </c>
    </row>
    <row r="35">
      <c r="B35" s="2">
        <f>IFERROR(TEXT($A35,"YYYY-MM"),"")</f>
        <v/>
      </c>
    </row>
    <row r="36">
      <c r="B36" s="2">
        <f>IFERROR(TEXT($A36,"YYYY-MM"),"")</f>
        <v/>
      </c>
    </row>
    <row r="37">
      <c r="B37" s="2">
        <f>IFERROR(TEXT($A37,"YYYY-MM"),"")</f>
        <v/>
      </c>
    </row>
    <row r="38">
      <c r="B38" s="2">
        <f>IFERROR(TEXT($A38,"YYYY-MM"),"")</f>
        <v/>
      </c>
    </row>
    <row r="39">
      <c r="B39" s="2">
        <f>IFERROR(TEXT($A39,"YYYY-MM"),"")</f>
        <v/>
      </c>
    </row>
    <row r="40">
      <c r="B40" s="2">
        <f>IFERROR(TEXT($A40,"YYYY-MM"),"")</f>
        <v/>
      </c>
    </row>
    <row r="41">
      <c r="B41" s="2">
        <f>IFERROR(TEXT($A41,"YYYY-MM"),"")</f>
        <v/>
      </c>
    </row>
    <row r="42">
      <c r="B42" s="2">
        <f>IFERROR(TEXT($A42,"YYYY-MM"),"")</f>
        <v/>
      </c>
    </row>
    <row r="43">
      <c r="B43" s="2">
        <f>IFERROR(TEXT($A43,"YYYY-MM"),"")</f>
        <v/>
      </c>
    </row>
    <row r="44">
      <c r="B44" s="2">
        <f>IFERROR(TEXT($A44,"YYYY-MM"),"")</f>
        <v/>
      </c>
    </row>
    <row r="45">
      <c r="B45" s="2">
        <f>IFERROR(TEXT($A45,"YYYY-MM"),"")</f>
        <v/>
      </c>
    </row>
    <row r="46">
      <c r="B46" s="2">
        <f>IFERROR(TEXT($A46,"YYYY-MM"),"")</f>
        <v/>
      </c>
    </row>
    <row r="47">
      <c r="B47" s="2">
        <f>IFERROR(TEXT($A47,"YYYY-MM"),"")</f>
        <v/>
      </c>
    </row>
    <row r="48">
      <c r="B48" s="2">
        <f>IFERROR(TEXT($A48,"YYYY-MM"),"")</f>
        <v/>
      </c>
    </row>
    <row r="49">
      <c r="B49" s="2">
        <f>IFERROR(TEXT($A49,"YYYY-MM"),"")</f>
        <v/>
      </c>
    </row>
    <row r="50">
      <c r="B50" s="2">
        <f>IFERROR(TEXT($A50,"YYYY-MM"),"")</f>
        <v/>
      </c>
    </row>
    <row r="51">
      <c r="B51" s="2">
        <f>IFERROR(TEXT($A51,"YYYY-MM"),"")</f>
        <v/>
      </c>
    </row>
    <row r="52">
      <c r="B52" s="2">
        <f>IFERROR(TEXT($A52,"YYYY-MM"),"")</f>
        <v/>
      </c>
    </row>
    <row r="53">
      <c r="B53" s="2">
        <f>IFERROR(TEXT($A53,"YYYY-MM"),"")</f>
        <v/>
      </c>
    </row>
    <row r="54">
      <c r="B54" s="2">
        <f>IFERROR(TEXT($A54,"YYYY-MM"),"")</f>
        <v/>
      </c>
    </row>
    <row r="55">
      <c r="B55" s="2">
        <f>IFERROR(TEXT($A55,"YYYY-MM"),"")</f>
        <v/>
      </c>
    </row>
    <row r="56">
      <c r="B56" s="2">
        <f>IFERROR(TEXT($A56,"YYYY-MM"),"")</f>
        <v/>
      </c>
    </row>
    <row r="57">
      <c r="B57" s="2">
        <f>IFERROR(TEXT($A57,"YYYY-MM"),"")</f>
        <v/>
      </c>
    </row>
    <row r="58">
      <c r="B58" s="2">
        <f>IFERROR(TEXT($A58,"YYYY-MM"),"")</f>
        <v/>
      </c>
    </row>
    <row r="59">
      <c r="B59" s="2">
        <f>IFERROR(TEXT($A59,"YYYY-MM"),"")</f>
        <v/>
      </c>
    </row>
    <row r="60">
      <c r="B60" s="2">
        <f>IFERROR(TEXT($A60,"YYYY-MM"),"")</f>
        <v/>
      </c>
    </row>
    <row r="61">
      <c r="B61" s="2">
        <f>IFERROR(TEXT($A61,"YYYY-MM"),"")</f>
        <v/>
      </c>
    </row>
    <row r="62">
      <c r="B62" s="2">
        <f>IFERROR(TEXT($A62,"YYYY-MM"),"")</f>
        <v/>
      </c>
    </row>
    <row r="63">
      <c r="B63" s="2">
        <f>IFERROR(TEXT($A63,"YYYY-MM"),"")</f>
        <v/>
      </c>
    </row>
    <row r="64">
      <c r="B64" s="2">
        <f>IFERROR(TEXT($A64,"YYYY-MM"),"")</f>
        <v/>
      </c>
    </row>
    <row r="65">
      <c r="B65" s="2">
        <f>IFERROR(TEXT($A65,"YYYY-MM"),"")</f>
        <v/>
      </c>
    </row>
    <row r="66">
      <c r="B66" s="2">
        <f>IFERROR(TEXT($A66,"YYYY-MM"),"")</f>
        <v/>
      </c>
    </row>
    <row r="67">
      <c r="B67" s="2">
        <f>IFERROR(TEXT($A67,"YYYY-MM"),"")</f>
        <v/>
      </c>
    </row>
    <row r="68">
      <c r="B68" s="2">
        <f>IFERROR(TEXT($A68,"YYYY-MM"),"")</f>
        <v/>
      </c>
    </row>
    <row r="69">
      <c r="B69" s="2">
        <f>IFERROR(TEXT($A69,"YYYY-MM"),"")</f>
        <v/>
      </c>
    </row>
    <row r="70">
      <c r="B70" s="2">
        <f>IFERROR(TEXT($A70,"YYYY-MM"),"")</f>
        <v/>
      </c>
    </row>
    <row r="71">
      <c r="B71" s="2">
        <f>IFERROR(TEXT($A71,"YYYY-MM"),"")</f>
        <v/>
      </c>
    </row>
    <row r="72">
      <c r="B72" s="2">
        <f>IFERROR(TEXT($A72,"YYYY-MM"),"")</f>
        <v/>
      </c>
    </row>
    <row r="73">
      <c r="B73" s="2">
        <f>IFERROR(TEXT($A73,"YYYY-MM"),"")</f>
        <v/>
      </c>
    </row>
    <row r="74">
      <c r="B74" s="2">
        <f>IFERROR(TEXT($A74,"YYYY-MM"),"")</f>
        <v/>
      </c>
    </row>
    <row r="75">
      <c r="B75" s="2">
        <f>IFERROR(TEXT($A75,"YYYY-MM"),"")</f>
        <v/>
      </c>
    </row>
    <row r="76">
      <c r="B76" s="2">
        <f>IFERROR(TEXT($A76,"YYYY-MM"),"")</f>
        <v/>
      </c>
    </row>
    <row r="77">
      <c r="B77" s="2">
        <f>IFERROR(TEXT($A77,"YYYY-MM"),"")</f>
        <v/>
      </c>
    </row>
    <row r="78">
      <c r="B78" s="2">
        <f>IFERROR(TEXT($A78,"YYYY-MM"),"")</f>
        <v/>
      </c>
    </row>
    <row r="79">
      <c r="B79" s="2">
        <f>IFERROR(TEXT($A79,"YYYY-MM"),"")</f>
        <v/>
      </c>
    </row>
    <row r="80">
      <c r="B80" s="2">
        <f>IFERROR(TEXT($A80,"YYYY-MM"),"")</f>
        <v/>
      </c>
    </row>
    <row r="81">
      <c r="B81" s="2">
        <f>IFERROR(TEXT($A81,"YYYY-MM"),"")</f>
        <v/>
      </c>
    </row>
    <row r="82">
      <c r="B82" s="2">
        <f>IFERROR(TEXT($A82,"YYYY-MM"),"")</f>
        <v/>
      </c>
    </row>
    <row r="83">
      <c r="B83" s="2">
        <f>IFERROR(TEXT($A83,"YYYY-MM"),"")</f>
        <v/>
      </c>
    </row>
    <row r="84">
      <c r="B84" s="2">
        <f>IFERROR(TEXT($A84,"YYYY-MM"),"")</f>
        <v/>
      </c>
    </row>
    <row r="85">
      <c r="B85" s="2">
        <f>IFERROR(TEXT($A85,"YYYY-MM"),"")</f>
        <v/>
      </c>
    </row>
    <row r="86">
      <c r="B86" s="2">
        <f>IFERROR(TEXT($A86,"YYYY-MM"),"")</f>
        <v/>
      </c>
    </row>
    <row r="87">
      <c r="B87" s="2">
        <f>IFERROR(TEXT($A87,"YYYY-MM"),"")</f>
        <v/>
      </c>
    </row>
    <row r="88">
      <c r="B88" s="2">
        <f>IFERROR(TEXT($A88,"YYYY-MM"),"")</f>
        <v/>
      </c>
    </row>
    <row r="89">
      <c r="B89" s="2">
        <f>IFERROR(TEXT($A89,"YYYY-MM"),"")</f>
        <v/>
      </c>
    </row>
    <row r="90">
      <c r="B90" s="2">
        <f>IFERROR(TEXT($A90,"YYYY-MM"),"")</f>
        <v/>
      </c>
    </row>
    <row r="91">
      <c r="B91" s="2">
        <f>IFERROR(TEXT($A91,"YYYY-MM"),"")</f>
        <v/>
      </c>
    </row>
    <row r="92">
      <c r="B92" s="2">
        <f>IFERROR(TEXT($A92,"YYYY-MM"),"")</f>
        <v/>
      </c>
    </row>
    <row r="93">
      <c r="B93" s="2">
        <f>IFERROR(TEXT($A93,"YYYY-MM"),"")</f>
        <v/>
      </c>
    </row>
    <row r="94">
      <c r="B94" s="2">
        <f>IFERROR(TEXT($A94,"YYYY-MM"),"")</f>
        <v/>
      </c>
    </row>
    <row r="95">
      <c r="B95" s="2">
        <f>IFERROR(TEXT($A95,"YYYY-MM"),"")</f>
        <v/>
      </c>
    </row>
    <row r="96">
      <c r="B96" s="2">
        <f>IFERROR(TEXT($A96,"YYYY-MM"),"")</f>
        <v/>
      </c>
    </row>
    <row r="97">
      <c r="B97" s="2">
        <f>IFERROR(TEXT($A97,"YYYY-MM"),"")</f>
        <v/>
      </c>
    </row>
    <row r="98">
      <c r="B98" s="2">
        <f>IFERROR(TEXT($A98,"YYYY-MM"),"")</f>
        <v/>
      </c>
    </row>
    <row r="99">
      <c r="B99" s="2">
        <f>IFERROR(TEXT($A99,"YYYY-MM"),"")</f>
        <v/>
      </c>
    </row>
    <row r="100">
      <c r="B100" s="2">
        <f>IFERROR(TEXT($A100,"YYYY-MM"),"")</f>
        <v/>
      </c>
    </row>
  </sheetData>
  <dataValidations count="3">
    <dataValidation sqref="J2:J100" showDropDown="0" showInputMessage="0" showErrorMessage="0" allowBlank="1" type="list">
      <formula1>"HB1DP,HB1HE,HB1JAHE,HB1PHE,HB1UHE,HB1UHP,HB1UP,HBIHP,PS1DP"</formula1>
    </dataValidation>
    <dataValidation sqref="D2:D100" showDropDown="0" showInputMessage="0" showErrorMessage="0" allowBlank="1" type="list">
      <formula1>"Product,Marketing &amp; brand,Overheads"</formula1>
    </dataValidation>
    <dataValidation sqref="E2:E100" showDropDown="0" showInputMessage="0" showErrorMessage="0" allowBlank="1" type="list">
      <formula1>"Experiment,Sample,Final production,—"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9" customWidth="1" min="7" max="7"/>
    <col width="16" customWidth="1" min="8" max="8"/>
    <col width="11" customWidth="1" min="9" max="9"/>
    <col width="11" customWidth="1" min="10" max="10"/>
    <col width="16" customWidth="1" min="11" max="11"/>
    <col width="11" customWidth="1" min="12" max="12"/>
    <col width="11" customWidth="1" min="13" max="13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qty_bought</t>
        </is>
      </c>
      <c r="E1" s="1" t="inlineStr">
        <is>
          <t>total_cost</t>
        </is>
      </c>
      <c r="F1" s="1" t="inlineStr">
        <is>
          <t>rate</t>
        </is>
      </c>
      <c r="G1" s="1" t="inlineStr">
        <is>
          <t>quantity_on_hand</t>
        </is>
      </c>
      <c r="H1" s="1" t="inlineStr">
        <is>
          <t>reorder_level</t>
        </is>
      </c>
      <c r="I1" s="1" t="inlineStr">
        <is>
          <t>status</t>
        </is>
      </c>
      <c r="J1" s="1" t="inlineStr">
        <is>
          <t>on_order</t>
        </is>
      </c>
      <c r="K1" s="1" t="inlineStr">
        <is>
          <t>expected_date</t>
        </is>
      </c>
      <c r="L1" s="1" t="inlineStr">
        <is>
          <t>supplier</t>
        </is>
      </c>
      <c r="M1" s="1" t="inlineStr">
        <is>
          <t>notes</t>
        </is>
      </c>
    </row>
    <row r="2">
      <c r="A2" s="3" t="inlineStr">
        <is>
          <t>Bamboo</t>
        </is>
      </c>
      <c r="B2" s="3" t="inlineStr">
        <is>
          <t>Fabric</t>
        </is>
      </c>
      <c r="C2" s="3" t="inlineStr">
        <is>
          <t>metre</t>
        </is>
      </c>
      <c r="D2" s="3" t="n">
        <v>15</v>
      </c>
      <c r="E2" s="3" t="n">
        <v>8100</v>
      </c>
      <c r="F2" s="2">
        <f>IF($D2&gt;0,$E2/$D2,"")</f>
        <v/>
      </c>
      <c r="G2" s="2">
        <f>IF($D2="","",$D2-SUMIF(SKU_MATERIALS!$E:$E,$A2,SKU_MATERIALS!$G:$G))</f>
        <v/>
      </c>
      <c r="H2" s="3" t="n">
        <v>10</v>
      </c>
      <c r="I2" s="2">
        <f>IF($G2="","",IF($G2&lt;=0,"Out of stock",IF(AND($H2&lt;&gt;"",$G2&lt;=$H2),"Running low","In stock")))</f>
        <v/>
      </c>
      <c r="J2" s="3" t="inlineStr">
        <is>
          <t>No</t>
        </is>
      </c>
      <c r="L2" s="3" t="inlineStr">
        <is>
          <t>Fabriclore</t>
        </is>
      </c>
      <c r="M2" s="3" t="inlineStr">
        <is>
          <t>example — 15 m bought</t>
        </is>
      </c>
    </row>
    <row r="3">
      <c r="A3" t="inlineStr">
        <is>
          <t>100% Linen</t>
        </is>
      </c>
      <c r="B3" t="inlineStr">
        <is>
          <t>Fabric</t>
        </is>
      </c>
      <c r="C3" t="inlineStr">
        <is>
          <t>metre</t>
        </is>
      </c>
      <c r="F3" s="2">
        <f>IF($D3&gt;0,$E3/$D3,"")</f>
        <v/>
      </c>
      <c r="G3" s="2">
        <f>IF($D3="","",$D3-SUMIF(SKU_MATERIALS!$E:$E,$A3,SKU_MATERIALS!$G:$G))</f>
        <v/>
      </c>
      <c r="H3" t="n">
        <v>8</v>
      </c>
      <c r="I3" s="2">
        <f>IF($G3="","",IF($G3&lt;=0,"Out of stock",IF(AND($H3&lt;&gt;"",$G3&lt;=$H3),"Running low","In stock")))</f>
        <v/>
      </c>
    </row>
    <row r="4">
      <c r="A4" t="inlineStr">
        <is>
          <t>Mixed: Cotton + Linen</t>
        </is>
      </c>
      <c r="B4" t="inlineStr">
        <is>
          <t>Fabric</t>
        </is>
      </c>
      <c r="C4" t="inlineStr">
        <is>
          <t>metre</t>
        </is>
      </c>
      <c r="F4" s="2">
        <f>IF($D4&gt;0,$E4/$D4,"")</f>
        <v/>
      </c>
      <c r="G4" s="2">
        <f>IF($D4="","",$D4-SUMIF(SKU_MATERIALS!$E:$E,$A4,SKU_MATERIALS!$G:$G))</f>
        <v/>
      </c>
      <c r="H4" t="n">
        <v>8</v>
      </c>
      <c r="I4" s="2">
        <f>IF($G4="","",IF($G4&lt;=0,"Out of stock",IF(AND($H4&lt;&gt;"",$G4&lt;=$H4),"Running low","In stock")))</f>
        <v/>
      </c>
    </row>
    <row r="5">
      <c r="A5" t="inlineStr">
        <is>
          <t>Upcycled</t>
        </is>
      </c>
      <c r="B5" t="inlineStr">
        <is>
          <t>Fabric</t>
        </is>
      </c>
      <c r="C5" t="inlineStr">
        <is>
          <t>metre</t>
        </is>
      </c>
      <c r="F5" s="2">
        <f>IF($D5&gt;0,$E5/$D5,"")</f>
        <v/>
      </c>
      <c r="G5" s="2">
        <f>IF($D5="","",$D5-SUMIF(SKU_MATERIALS!$E:$E,$A5,SKU_MATERIALS!$G:$G))</f>
        <v/>
      </c>
      <c r="H5" t="n">
        <v>8</v>
      </c>
      <c r="I5" s="2">
        <f>IF($G5="","",IF($G5&lt;=0,"Out of stock",IF(AND($H5&lt;&gt;"",$G5&lt;=$H5),"Running low","In stock")))</f>
        <v/>
      </c>
    </row>
    <row r="6">
      <c r="A6" t="inlineStr">
        <is>
          <t>Giza Cotton</t>
        </is>
      </c>
      <c r="B6" t="inlineStr">
        <is>
          <t>Fabric</t>
        </is>
      </c>
      <c r="C6" t="inlineStr">
        <is>
          <t>metre</t>
        </is>
      </c>
      <c r="F6" s="2">
        <f>IF($D6&gt;0,$E6/$D6,"")</f>
        <v/>
      </c>
      <c r="G6" s="2">
        <f>IF($D6="","",$D6-SUMIF(SKU_MATERIALS!$E:$E,$A6,SKU_MATERIALS!$G:$G))</f>
        <v/>
      </c>
      <c r="H6" t="n">
        <v>8</v>
      </c>
      <c r="I6" s="2">
        <f>IF($G6="","",IF($G6&lt;=0,"Out of stock",IF(AND($H6&lt;&gt;"",$G6&lt;=$H6),"Running low","In stock")))</f>
        <v/>
      </c>
    </row>
    <row r="7">
      <c r="A7" t="inlineStr">
        <is>
          <t>Black thread</t>
        </is>
      </c>
      <c r="B7" t="inlineStr">
        <is>
          <t>Thread</t>
        </is>
      </c>
      <c r="C7" t="inlineStr">
        <is>
          <t>spool</t>
        </is>
      </c>
      <c r="F7" s="2">
        <f>IF($D7&gt;0,$E7/$D7,"")</f>
        <v/>
      </c>
      <c r="G7" s="2">
        <f>IF($D7="","",$D7-SUMIF(SKU_MATERIALS!$E:$E,$A7,SKU_MATERIALS!$G:$G))</f>
        <v/>
      </c>
      <c r="H7" t="n">
        <v>5</v>
      </c>
      <c r="I7" s="2">
        <f>IF($G7="","",IF($G7&lt;=0,"Out of stock",IF(AND($H7&lt;&gt;"",$G7&lt;=$H7),"Running low","In stock")))</f>
        <v/>
      </c>
    </row>
    <row r="8">
      <c r="A8" t="inlineStr">
        <is>
          <t>White thread</t>
        </is>
      </c>
      <c r="B8" t="inlineStr">
        <is>
          <t>Thread</t>
        </is>
      </c>
      <c r="C8" t="inlineStr">
        <is>
          <t>spool</t>
        </is>
      </c>
      <c r="F8" s="2">
        <f>IF($D8&gt;0,$E8/$D8,"")</f>
        <v/>
      </c>
      <c r="G8" s="2">
        <f>IF($D8="","",$D8-SUMIF(SKU_MATERIALS!$E:$E,$A8,SKU_MATERIALS!$G:$G))</f>
        <v/>
      </c>
      <c r="H8" t="n">
        <v>5</v>
      </c>
      <c r="I8" s="2">
        <f>IF($G8="","",IF($G8&lt;=0,"Out of stock",IF(AND($H8&lt;&gt;"",$G8&lt;=$H8),"Running low","In stock")))</f>
        <v/>
      </c>
    </row>
    <row r="9">
      <c r="A9" t="inlineStr">
        <is>
          <t>Wooden buttons</t>
        </is>
      </c>
      <c r="B9" t="inlineStr">
        <is>
          <t>Button</t>
        </is>
      </c>
      <c r="C9" t="inlineStr">
        <is>
          <t>piece</t>
        </is>
      </c>
      <c r="F9" s="2">
        <f>IF($D9&gt;0,$E9/$D9,"")</f>
        <v/>
      </c>
      <c r="G9" s="2">
        <f>IF($D9="","",$D9-SUMIF(SKU_MATERIALS!$E:$E,$A9,SKU_MATERIALS!$G:$G))</f>
        <v/>
      </c>
      <c r="H9" t="n">
        <v>5</v>
      </c>
      <c r="I9" s="2">
        <f>IF($G9="","",IF($G9&lt;=0,"Out of stock",IF(AND($H9&lt;&gt;"",$G9&lt;=$H9),"Running low","In stock")))</f>
        <v/>
      </c>
    </row>
    <row r="10">
      <c r="A10" t="inlineStr">
        <is>
          <t>Fabric paint — red</t>
        </is>
      </c>
      <c r="B10" t="inlineStr">
        <is>
          <t>Paint</t>
        </is>
      </c>
      <c r="C10" t="inlineStr">
        <is>
          <t>jar</t>
        </is>
      </c>
      <c r="F10" s="2">
        <f>IF($D10&gt;0,$E10/$D10,"")</f>
        <v/>
      </c>
      <c r="G10" s="2">
        <f>IF($D10="","",$D10-SUMIF(SKU_MATERIALS!$E:$E,$A10,SKU_MATERIALS!$G:$G))</f>
        <v/>
      </c>
      <c r="H10" t="n">
        <v>5</v>
      </c>
      <c r="I10" s="2">
        <f>IF($G10="","",IF($G10&lt;=0,"Out of stock",IF(AND($H10&lt;&gt;"",$G10&lt;=$H10),"Running low","In stock")))</f>
        <v/>
      </c>
    </row>
    <row r="11">
      <c r="A11" t="inlineStr">
        <is>
          <t>Poly mailers</t>
        </is>
      </c>
      <c r="B11" t="inlineStr">
        <is>
          <t>Packaging</t>
        </is>
      </c>
      <c r="C11" t="inlineStr">
        <is>
          <t>piece</t>
        </is>
      </c>
      <c r="F11" s="2">
        <f>IF($D11&gt;0,$E11/$D11,"")</f>
        <v/>
      </c>
      <c r="G11" s="2">
        <f>IF($D11="","",$D11-SUMIF(SKU_MATERIALS!$E:$E,$A11,SKU_MATERIALS!$G:$G))</f>
        <v/>
      </c>
      <c r="H11" t="n">
        <v>5</v>
      </c>
      <c r="I11" s="2">
        <f>IF($G11="","",IF($G11&lt;=0,"Out of stock",IF(AND($H11&lt;&gt;"",$G11&lt;=$H11),"Running low","In stock")))</f>
        <v/>
      </c>
    </row>
    <row r="12">
      <c r="F12" s="2">
        <f>IF($D12&gt;0,$E12/$D12,"")</f>
        <v/>
      </c>
      <c r="G12" s="2">
        <f>IF($D12="","",$D12-SUMIF(SKU_MATERIALS!$E:$E,$A12,SKU_MATERIALS!$G:$G))</f>
        <v/>
      </c>
      <c r="I12" s="2">
        <f>IF($G12="","",IF($G12&lt;=0,"Out of stock",IF(AND($H12&lt;&gt;"",$G12&lt;=$H12),"Running low","In stock")))</f>
        <v/>
      </c>
    </row>
    <row r="13">
      <c r="F13" s="2">
        <f>IF($D13&gt;0,$E13/$D13,"")</f>
        <v/>
      </c>
      <c r="G13" s="2">
        <f>IF($D13="","",$D13-SUMIF(SKU_MATERIALS!$E:$E,$A13,SKU_MATERIALS!$G:$G))</f>
        <v/>
      </c>
      <c r="I13" s="2">
        <f>IF($G13="","",IF($G13&lt;=0,"Out of stock",IF(AND($H13&lt;&gt;"",$G13&lt;=$H13),"Running low","In stock")))</f>
        <v/>
      </c>
    </row>
    <row r="14">
      <c r="F14" s="2">
        <f>IF($D14&gt;0,$E14/$D14,"")</f>
        <v/>
      </c>
      <c r="G14" s="2">
        <f>IF($D14="","",$D14-SUMIF(SKU_MATERIALS!$E:$E,$A14,SKU_MATERIALS!$G:$G))</f>
        <v/>
      </c>
      <c r="I14" s="2">
        <f>IF($G14="","",IF($G14&lt;=0,"Out of stock",IF(AND($H14&lt;&gt;"",$G14&lt;=$H14),"Running low","In stock")))</f>
        <v/>
      </c>
    </row>
    <row r="15">
      <c r="F15" s="2">
        <f>IF($D15&gt;0,$E15/$D15,"")</f>
        <v/>
      </c>
      <c r="G15" s="2">
        <f>IF($D15="","",$D15-SUMIF(SKU_MATERIALS!$E:$E,$A15,SKU_MATERIALS!$G:$G))</f>
        <v/>
      </c>
      <c r="I15" s="2">
        <f>IF($G15="","",IF($G15&lt;=0,"Out of stock",IF(AND($H15&lt;&gt;"",$G15&lt;=$H15),"Running low","In stock")))</f>
        <v/>
      </c>
    </row>
    <row r="16">
      <c r="F16" s="2">
        <f>IF($D16&gt;0,$E16/$D16,"")</f>
        <v/>
      </c>
      <c r="G16" s="2">
        <f>IF($D16="","",$D16-SUMIF(SKU_MATERIALS!$E:$E,$A16,SKU_MATERIALS!$G:$G))</f>
        <v/>
      </c>
      <c r="I16" s="2">
        <f>IF($G16="","",IF($G16&lt;=0,"Out of stock",IF(AND($H16&lt;&gt;"",$G16&lt;=$H16),"Running low","In stock")))</f>
        <v/>
      </c>
    </row>
    <row r="17">
      <c r="F17" s="2">
        <f>IF($D17&gt;0,$E17/$D17,"")</f>
        <v/>
      </c>
      <c r="G17" s="2">
        <f>IF($D17="","",$D17-SUMIF(SKU_MATERIALS!$E:$E,$A17,SKU_MATERIALS!$G:$G))</f>
        <v/>
      </c>
      <c r="I17" s="2">
        <f>IF($G17="","",IF($G17&lt;=0,"Out of stock",IF(AND($H17&lt;&gt;"",$G17&lt;=$H17),"Running low","In stock")))</f>
        <v/>
      </c>
    </row>
    <row r="18">
      <c r="F18" s="2">
        <f>IF($D18&gt;0,$E18/$D18,"")</f>
        <v/>
      </c>
      <c r="G18" s="2">
        <f>IF($D18="","",$D18-SUMIF(SKU_MATERIALS!$E:$E,$A18,SKU_MATERIALS!$G:$G))</f>
        <v/>
      </c>
      <c r="I18" s="2">
        <f>IF($G18="","",IF($G18&lt;=0,"Out of stock",IF(AND($H18&lt;&gt;"",$G18&lt;=$H18),"Running low","In stock")))</f>
        <v/>
      </c>
    </row>
    <row r="19">
      <c r="F19" s="2">
        <f>IF($D19&gt;0,$E19/$D19,"")</f>
        <v/>
      </c>
      <c r="G19" s="2">
        <f>IF($D19="","",$D19-SUMIF(SKU_MATERIALS!$E:$E,$A19,SKU_MATERIALS!$G:$G))</f>
        <v/>
      </c>
      <c r="I19" s="2">
        <f>IF($G19="","",IF($G19&lt;=0,"Out of stock",IF(AND($H19&lt;&gt;"",$G19&lt;=$H19),"Running low","In stock")))</f>
        <v/>
      </c>
    </row>
    <row r="20">
      <c r="F20" s="2">
        <f>IF($D20&gt;0,$E20/$D20,"")</f>
        <v/>
      </c>
      <c r="G20" s="2">
        <f>IF($D20="","",$D20-SUMIF(SKU_MATERIALS!$E:$E,$A20,SKU_MATERIALS!$G:$G))</f>
        <v/>
      </c>
      <c r="I20" s="2">
        <f>IF($G20="","",IF($G20&lt;=0,"Out of stock",IF(AND($H20&lt;&gt;"",$G20&lt;=$H20),"Running low","In stock")))</f>
        <v/>
      </c>
    </row>
    <row r="21">
      <c r="F21" s="2">
        <f>IF($D21&gt;0,$E21/$D21,"")</f>
        <v/>
      </c>
      <c r="G21" s="2">
        <f>IF($D21="","",$D21-SUMIF(SKU_MATERIALS!$E:$E,$A21,SKU_MATERIALS!$G:$G))</f>
        <v/>
      </c>
      <c r="I21" s="2">
        <f>IF($G21="","",IF($G21&lt;=0,"Out of stock",IF(AND($H21&lt;&gt;"",$G21&lt;=$H21),"Running low","In stock")))</f>
        <v/>
      </c>
    </row>
    <row r="22">
      <c r="F22" s="2">
        <f>IF($D22&gt;0,$E22/$D22,"")</f>
        <v/>
      </c>
      <c r="G22" s="2">
        <f>IF($D22="","",$D22-SUMIF(SKU_MATERIALS!$E:$E,$A22,SKU_MATERIALS!$G:$G))</f>
        <v/>
      </c>
      <c r="I22" s="2">
        <f>IF($G22="","",IF($G22&lt;=0,"Out of stock",IF(AND($H22&lt;&gt;"",$G22&lt;=$H22),"Running low","In stock")))</f>
        <v/>
      </c>
    </row>
    <row r="23">
      <c r="F23" s="2">
        <f>IF($D23&gt;0,$E23/$D23,"")</f>
        <v/>
      </c>
      <c r="G23" s="2">
        <f>IF($D23="","",$D23-SUMIF(SKU_MATERIALS!$E:$E,$A23,SKU_MATERIALS!$G:$G))</f>
        <v/>
      </c>
      <c r="I23" s="2">
        <f>IF($G23="","",IF($G23&lt;=0,"Out of stock",IF(AND($H23&lt;&gt;"",$G23&lt;=$H23),"Running low","In stock")))</f>
        <v/>
      </c>
    </row>
    <row r="24">
      <c r="F24" s="2">
        <f>IF($D24&gt;0,$E24/$D24,"")</f>
        <v/>
      </c>
      <c r="G24" s="2">
        <f>IF($D24="","",$D24-SUMIF(SKU_MATERIALS!$E:$E,$A24,SKU_MATERIALS!$G:$G))</f>
        <v/>
      </c>
      <c r="I24" s="2">
        <f>IF($G24="","",IF($G24&lt;=0,"Out of stock",IF(AND($H24&lt;&gt;"",$G24&lt;=$H24),"Running low","In stock")))</f>
        <v/>
      </c>
    </row>
    <row r="25">
      <c r="F25" s="2">
        <f>IF($D25&gt;0,$E25/$D25,"")</f>
        <v/>
      </c>
      <c r="G25" s="2">
        <f>IF($D25="","",$D25-SUMIF(SKU_MATERIALS!$E:$E,$A25,SKU_MATERIALS!$G:$G))</f>
        <v/>
      </c>
      <c r="I25" s="2">
        <f>IF($G25="","",IF($G25&lt;=0,"Out of stock",IF(AND($H25&lt;&gt;"",$G25&lt;=$H25),"Running low","In stock")))</f>
        <v/>
      </c>
    </row>
    <row r="26">
      <c r="F26" s="2">
        <f>IF($D26&gt;0,$E26/$D26,"")</f>
        <v/>
      </c>
      <c r="G26" s="2">
        <f>IF($D26="","",$D26-SUMIF(SKU_MATERIALS!$E:$E,$A26,SKU_MATERIALS!$G:$G))</f>
        <v/>
      </c>
      <c r="I26" s="2">
        <f>IF($G26="","",IF($G26&lt;=0,"Out of stock",IF(AND($H26&lt;&gt;"",$G26&lt;=$H26),"Running low","In stock")))</f>
        <v/>
      </c>
    </row>
    <row r="27">
      <c r="F27" s="2">
        <f>IF($D27&gt;0,$E27/$D27,"")</f>
        <v/>
      </c>
      <c r="G27" s="2">
        <f>IF($D27="","",$D27-SUMIF(SKU_MATERIALS!$E:$E,$A27,SKU_MATERIALS!$G:$G))</f>
        <v/>
      </c>
      <c r="I27" s="2">
        <f>IF($G27="","",IF($G27&lt;=0,"Out of stock",IF(AND($H27&lt;&gt;"",$G27&lt;=$H27),"Running low","In stock")))</f>
        <v/>
      </c>
    </row>
    <row r="28">
      <c r="F28" s="2">
        <f>IF($D28&gt;0,$E28/$D28,"")</f>
        <v/>
      </c>
      <c r="G28" s="2">
        <f>IF($D28="","",$D28-SUMIF(SKU_MATERIALS!$E:$E,$A28,SKU_MATERIALS!$G:$G))</f>
        <v/>
      </c>
      <c r="I28" s="2">
        <f>IF($G28="","",IF($G28&lt;=0,"Out of stock",IF(AND($H28&lt;&gt;"",$G28&lt;=$H28),"Running low","In stock")))</f>
        <v/>
      </c>
    </row>
    <row r="29">
      <c r="F29" s="2">
        <f>IF($D29&gt;0,$E29/$D29,"")</f>
        <v/>
      </c>
      <c r="G29" s="2">
        <f>IF($D29="","",$D29-SUMIF(SKU_MATERIALS!$E:$E,$A29,SKU_MATERIALS!$G:$G))</f>
        <v/>
      </c>
      <c r="I29" s="2">
        <f>IF($G29="","",IF($G29&lt;=0,"Out of stock",IF(AND($H29&lt;&gt;"",$G29&lt;=$H29),"Running low","In stock")))</f>
        <v/>
      </c>
    </row>
    <row r="30">
      <c r="F30" s="2">
        <f>IF($D30&gt;0,$E30/$D30,"")</f>
        <v/>
      </c>
      <c r="G30" s="2">
        <f>IF($D30="","",$D30-SUMIF(SKU_MATERIALS!$E:$E,$A30,SKU_MATERIALS!$G:$G))</f>
        <v/>
      </c>
      <c r="I30" s="2">
        <f>IF($G30="","",IF($G30&lt;=0,"Out of stock",IF(AND($H30&lt;&gt;"",$G30&lt;=$H30),"Running low","In stock")))</f>
        <v/>
      </c>
    </row>
    <row r="31">
      <c r="F31" s="2">
        <f>IF($D31&gt;0,$E31/$D31,"")</f>
        <v/>
      </c>
      <c r="G31" s="2">
        <f>IF($D31="","",$D31-SUMIF(SKU_MATERIALS!$E:$E,$A31,SKU_MATERIALS!$G:$G))</f>
        <v/>
      </c>
      <c r="I31" s="2">
        <f>IF($G31="","",IF($G31&lt;=0,"Out of stock",IF(AND($H31&lt;&gt;"",$G31&lt;=$H31),"Running low","In stock")))</f>
        <v/>
      </c>
    </row>
    <row r="32">
      <c r="F32" s="2">
        <f>IF($D32&gt;0,$E32/$D32,"")</f>
        <v/>
      </c>
      <c r="G32" s="2">
        <f>IF($D32="","",$D32-SUMIF(SKU_MATERIALS!$E:$E,$A32,SKU_MATERIALS!$G:$G))</f>
        <v/>
      </c>
      <c r="I32" s="2">
        <f>IF($G32="","",IF($G32&lt;=0,"Out of stock",IF(AND($H32&lt;&gt;"",$G32&lt;=$H32),"Running low","In stock")))</f>
        <v/>
      </c>
    </row>
    <row r="33">
      <c r="F33" s="2">
        <f>IF($D33&gt;0,$E33/$D33,"")</f>
        <v/>
      </c>
      <c r="G33" s="2">
        <f>IF($D33="","",$D33-SUMIF(SKU_MATERIALS!$E:$E,$A33,SKU_MATERIALS!$G:$G))</f>
        <v/>
      </c>
      <c r="I33" s="2">
        <f>IF($G33="","",IF($G33&lt;=0,"Out of stock",IF(AND($H33&lt;&gt;"",$G33&lt;=$H33),"Running low","In stock")))</f>
        <v/>
      </c>
    </row>
    <row r="34">
      <c r="F34" s="2">
        <f>IF($D34&gt;0,$E34/$D34,"")</f>
        <v/>
      </c>
      <c r="G34" s="2">
        <f>IF($D34="","",$D34-SUMIF(SKU_MATERIALS!$E:$E,$A34,SKU_MATERIALS!$G:$G))</f>
        <v/>
      </c>
      <c r="I34" s="2">
        <f>IF($G34="","",IF($G34&lt;=0,"Out of stock",IF(AND($H34&lt;&gt;"",$G34&lt;=$H34),"Running low","In stock")))</f>
        <v/>
      </c>
    </row>
    <row r="35">
      <c r="F35" s="2">
        <f>IF($D35&gt;0,$E35/$D35,"")</f>
        <v/>
      </c>
      <c r="G35" s="2">
        <f>IF($D35="","",$D35-SUMIF(SKU_MATERIALS!$E:$E,$A35,SKU_MATERIALS!$G:$G))</f>
        <v/>
      </c>
      <c r="I35" s="2">
        <f>IF($G35="","",IF($G35&lt;=0,"Out of stock",IF(AND($H35&lt;&gt;"",$G35&lt;=$H35),"Running low","In stock")))</f>
        <v/>
      </c>
    </row>
    <row r="36">
      <c r="F36" s="2">
        <f>IF($D36&gt;0,$E36/$D36,"")</f>
        <v/>
      </c>
      <c r="G36" s="2">
        <f>IF($D36="","",$D36-SUMIF(SKU_MATERIALS!$E:$E,$A36,SKU_MATERIALS!$G:$G))</f>
        <v/>
      </c>
      <c r="I36" s="2">
        <f>IF($G36="","",IF($G36&lt;=0,"Out of stock",IF(AND($H36&lt;&gt;"",$G36&lt;=$H36),"Running low","In stock")))</f>
        <v/>
      </c>
    </row>
    <row r="37">
      <c r="F37" s="2">
        <f>IF($D37&gt;0,$E37/$D37,"")</f>
        <v/>
      </c>
      <c r="G37" s="2">
        <f>IF($D37="","",$D37-SUMIF(SKU_MATERIALS!$E:$E,$A37,SKU_MATERIALS!$G:$G))</f>
        <v/>
      </c>
      <c r="I37" s="2">
        <f>IF($G37="","",IF($G37&lt;=0,"Out of stock",IF(AND($H37&lt;&gt;"",$G37&lt;=$H37),"Running low","In stock")))</f>
        <v/>
      </c>
    </row>
    <row r="38">
      <c r="F38" s="2">
        <f>IF($D38&gt;0,$E38/$D38,"")</f>
        <v/>
      </c>
      <c r="G38" s="2">
        <f>IF($D38="","",$D38-SUMIF(SKU_MATERIALS!$E:$E,$A38,SKU_MATERIALS!$G:$G))</f>
        <v/>
      </c>
      <c r="I38" s="2">
        <f>IF($G38="","",IF($G38&lt;=0,"Out of stock",IF(AND($H38&lt;&gt;"",$G38&lt;=$H38),"Running low","In stock")))</f>
        <v/>
      </c>
    </row>
    <row r="39">
      <c r="F39" s="2">
        <f>IF($D39&gt;0,$E39/$D39,"")</f>
        <v/>
      </c>
      <c r="G39" s="2">
        <f>IF($D39="","",$D39-SUMIF(SKU_MATERIALS!$E:$E,$A39,SKU_MATERIALS!$G:$G))</f>
        <v/>
      </c>
      <c r="I39" s="2">
        <f>IF($G39="","",IF($G39&lt;=0,"Out of stock",IF(AND($H39&lt;&gt;"",$G39&lt;=$H39),"Running low","In stock")))</f>
        <v/>
      </c>
    </row>
    <row r="40">
      <c r="F40" s="2">
        <f>IF($D40&gt;0,$E40/$D40,"")</f>
        <v/>
      </c>
      <c r="G40" s="2">
        <f>IF($D40="","",$D40-SUMIF(SKU_MATERIALS!$E:$E,$A40,SKU_MATERIALS!$G:$G))</f>
        <v/>
      </c>
      <c r="I40" s="2">
        <f>IF($G40="","",IF($G40&lt;=0,"Out of stock",IF(AND($H40&lt;&gt;"",$G40&lt;=$H40),"Running low","In stock")))</f>
        <v/>
      </c>
    </row>
    <row r="41">
      <c r="F41" s="2">
        <f>IF($D41&gt;0,$E41/$D41,"")</f>
        <v/>
      </c>
      <c r="G41" s="2">
        <f>IF($D41="","",$D41-SUMIF(SKU_MATERIALS!$E:$E,$A41,SKU_MATERIALS!$G:$G))</f>
        <v/>
      </c>
      <c r="I41" s="2">
        <f>IF($G41="","",IF($G41&lt;=0,"Out of stock",IF(AND($H41&lt;&gt;"",$G41&lt;=$H41),"Running low","In stock")))</f>
        <v/>
      </c>
    </row>
    <row r="42">
      <c r="F42" s="2">
        <f>IF($D42&gt;0,$E42/$D42,"")</f>
        <v/>
      </c>
      <c r="G42" s="2">
        <f>IF($D42="","",$D42-SUMIF(SKU_MATERIALS!$E:$E,$A42,SKU_MATERIALS!$G:$G))</f>
        <v/>
      </c>
      <c r="I42" s="2">
        <f>IF($G42="","",IF($G42&lt;=0,"Out of stock",IF(AND($H42&lt;&gt;"",$G42&lt;=$H42),"Running low","In stock")))</f>
        <v/>
      </c>
    </row>
    <row r="43">
      <c r="F43" s="2">
        <f>IF($D43&gt;0,$E43/$D43,"")</f>
        <v/>
      </c>
      <c r="G43" s="2">
        <f>IF($D43="","",$D43-SUMIF(SKU_MATERIALS!$E:$E,$A43,SKU_MATERIALS!$G:$G))</f>
        <v/>
      </c>
      <c r="I43" s="2">
        <f>IF($G43="","",IF($G43&lt;=0,"Out of stock",IF(AND($H43&lt;&gt;"",$G43&lt;=$H43),"Running low","In stock")))</f>
        <v/>
      </c>
    </row>
    <row r="44">
      <c r="F44" s="2">
        <f>IF($D44&gt;0,$E44/$D44,"")</f>
        <v/>
      </c>
      <c r="G44" s="2">
        <f>IF($D44="","",$D44-SUMIF(SKU_MATERIALS!$E:$E,$A44,SKU_MATERIALS!$G:$G))</f>
        <v/>
      </c>
      <c r="I44" s="2">
        <f>IF($G44="","",IF($G44&lt;=0,"Out of stock",IF(AND($H44&lt;&gt;"",$G44&lt;=$H44),"Running low","In stock")))</f>
        <v/>
      </c>
    </row>
    <row r="45">
      <c r="F45" s="2">
        <f>IF($D45&gt;0,$E45/$D45,"")</f>
        <v/>
      </c>
      <c r="G45" s="2">
        <f>IF($D45="","",$D45-SUMIF(SKU_MATERIALS!$E:$E,$A45,SKU_MATERIALS!$G:$G))</f>
        <v/>
      </c>
      <c r="I45" s="2">
        <f>IF($G45="","",IF($G45&lt;=0,"Out of stock",IF(AND($H45&lt;&gt;"",$G45&lt;=$H45),"Running low","In stock")))</f>
        <v/>
      </c>
    </row>
    <row r="46">
      <c r="F46" s="2">
        <f>IF($D46&gt;0,$E46/$D46,"")</f>
        <v/>
      </c>
      <c r="G46" s="2">
        <f>IF($D46="","",$D46-SUMIF(SKU_MATERIALS!$E:$E,$A46,SKU_MATERIALS!$G:$G))</f>
        <v/>
      </c>
      <c r="I46" s="2">
        <f>IF($G46="","",IF($G46&lt;=0,"Out of stock",IF(AND($H46&lt;&gt;"",$G46&lt;=$H46),"Running low","In stock")))</f>
        <v/>
      </c>
    </row>
    <row r="47">
      <c r="F47" s="2">
        <f>IF($D47&gt;0,$E47/$D47,"")</f>
        <v/>
      </c>
      <c r="G47" s="2">
        <f>IF($D47="","",$D47-SUMIF(SKU_MATERIALS!$E:$E,$A47,SKU_MATERIALS!$G:$G))</f>
        <v/>
      </c>
      <c r="I47" s="2">
        <f>IF($G47="","",IF($G47&lt;=0,"Out of stock",IF(AND($H47&lt;&gt;"",$G47&lt;=$H47),"Running low","In stock")))</f>
        <v/>
      </c>
    </row>
    <row r="48">
      <c r="F48" s="2">
        <f>IF($D48&gt;0,$E48/$D48,"")</f>
        <v/>
      </c>
      <c r="G48" s="2">
        <f>IF($D48="","",$D48-SUMIF(SKU_MATERIALS!$E:$E,$A48,SKU_MATERIALS!$G:$G))</f>
        <v/>
      </c>
      <c r="I48" s="2">
        <f>IF($G48="","",IF($G48&lt;=0,"Out of stock",IF(AND($H48&lt;&gt;"",$G48&lt;=$H48),"Running low","In stock")))</f>
        <v/>
      </c>
    </row>
    <row r="49">
      <c r="F49" s="2">
        <f>IF($D49&gt;0,$E49/$D49,"")</f>
        <v/>
      </c>
      <c r="G49" s="2">
        <f>IF($D49="","",$D49-SUMIF(SKU_MATERIALS!$E:$E,$A49,SKU_MATERIALS!$G:$G))</f>
        <v/>
      </c>
      <c r="I49" s="2">
        <f>IF($G49="","",IF($G49&lt;=0,"Out of stock",IF(AND($H49&lt;&gt;"",$G49&lt;=$H49),"Running low","In stock")))</f>
        <v/>
      </c>
    </row>
    <row r="50">
      <c r="F50" s="2">
        <f>IF($D50&gt;0,$E50/$D50,"")</f>
        <v/>
      </c>
      <c r="G50" s="2">
        <f>IF($D50="","",$D50-SUMIF(SKU_MATERIALS!$E:$E,$A50,SKU_MATERIALS!$G:$G))</f>
        <v/>
      </c>
      <c r="I50" s="2">
        <f>IF($G50="","",IF($G50&lt;=0,"Out of stock",IF(AND($H50&lt;&gt;"",$G50&lt;=$H50),"Running low","In stock")))</f>
        <v/>
      </c>
    </row>
    <row r="51">
      <c r="F51" s="2">
        <f>IF($D51&gt;0,$E51/$D51,"")</f>
        <v/>
      </c>
      <c r="G51" s="2">
        <f>IF($D51="","",$D51-SUMIF(SKU_MATERIALS!$E:$E,$A51,SKU_MATERIALS!$G:$G))</f>
        <v/>
      </c>
      <c r="I51" s="2">
        <f>IF($G51="","",IF($G51&lt;=0,"Out of stock",IF(AND($H51&lt;&gt;"",$G51&lt;=$H51),"Running low","In stock")))</f>
        <v/>
      </c>
    </row>
    <row r="52">
      <c r="F52" s="2">
        <f>IF($D52&gt;0,$E52/$D52,"")</f>
        <v/>
      </c>
      <c r="G52" s="2">
        <f>IF($D52="","",$D52-SUMIF(SKU_MATERIALS!$E:$E,$A52,SKU_MATERIALS!$G:$G))</f>
        <v/>
      </c>
      <c r="I52" s="2">
        <f>IF($G52="","",IF($G52&lt;=0,"Out of stock",IF(AND($H52&lt;&gt;"",$G52&lt;=$H52),"Running low","In stock")))</f>
        <v/>
      </c>
    </row>
    <row r="53">
      <c r="F53" s="2">
        <f>IF($D53&gt;0,$E53/$D53,"")</f>
        <v/>
      </c>
      <c r="G53" s="2">
        <f>IF($D53="","",$D53-SUMIF(SKU_MATERIALS!$E:$E,$A53,SKU_MATERIALS!$G:$G))</f>
        <v/>
      </c>
      <c r="I53" s="2">
        <f>IF($G53="","",IF($G53&lt;=0,"Out of stock",IF(AND($H53&lt;&gt;"",$G53&lt;=$H53),"Running low","In stock")))</f>
        <v/>
      </c>
    </row>
    <row r="54">
      <c r="F54" s="2">
        <f>IF($D54&gt;0,$E54/$D54,"")</f>
        <v/>
      </c>
      <c r="G54" s="2">
        <f>IF($D54="","",$D54-SUMIF(SKU_MATERIALS!$E:$E,$A54,SKU_MATERIALS!$G:$G))</f>
        <v/>
      </c>
      <c r="I54" s="2">
        <f>IF($G54="","",IF($G54&lt;=0,"Out of stock",IF(AND($H54&lt;&gt;"",$G54&lt;=$H54),"Running low","In stock")))</f>
        <v/>
      </c>
    </row>
    <row r="55">
      <c r="F55" s="2">
        <f>IF($D55&gt;0,$E55/$D55,"")</f>
        <v/>
      </c>
      <c r="G55" s="2">
        <f>IF($D55="","",$D55-SUMIF(SKU_MATERIALS!$E:$E,$A55,SKU_MATERIALS!$G:$G))</f>
        <v/>
      </c>
      <c r="I55" s="2">
        <f>IF($G55="","",IF($G55&lt;=0,"Out of stock",IF(AND($H55&lt;&gt;"",$G55&lt;=$H55),"Running low","In stock")))</f>
        <v/>
      </c>
    </row>
    <row r="56">
      <c r="F56" s="2">
        <f>IF($D56&gt;0,$E56/$D56,"")</f>
        <v/>
      </c>
      <c r="G56" s="2">
        <f>IF($D56="","",$D56-SUMIF(SKU_MATERIALS!$E:$E,$A56,SKU_MATERIALS!$G:$G))</f>
        <v/>
      </c>
      <c r="I56" s="2">
        <f>IF($G56="","",IF($G56&lt;=0,"Out of stock",IF(AND($H56&lt;&gt;"",$G56&lt;=$H56),"Running low","In stock")))</f>
        <v/>
      </c>
    </row>
    <row r="57">
      <c r="F57" s="2">
        <f>IF($D57&gt;0,$E57/$D57,"")</f>
        <v/>
      </c>
      <c r="G57" s="2">
        <f>IF($D57="","",$D57-SUMIF(SKU_MATERIALS!$E:$E,$A57,SKU_MATERIALS!$G:$G))</f>
        <v/>
      </c>
      <c r="I57" s="2">
        <f>IF($G57="","",IF($G57&lt;=0,"Out of stock",IF(AND($H57&lt;&gt;"",$G57&lt;=$H57),"Running low","In stock")))</f>
        <v/>
      </c>
    </row>
    <row r="58">
      <c r="F58" s="2">
        <f>IF($D58&gt;0,$E58/$D58,"")</f>
        <v/>
      </c>
      <c r="G58" s="2">
        <f>IF($D58="","",$D58-SUMIF(SKU_MATERIALS!$E:$E,$A58,SKU_MATERIALS!$G:$G))</f>
        <v/>
      </c>
      <c r="I58" s="2">
        <f>IF($G58="","",IF($G58&lt;=0,"Out of stock",IF(AND($H58&lt;&gt;"",$G58&lt;=$H58),"Running low","In stock")))</f>
        <v/>
      </c>
    </row>
    <row r="59">
      <c r="F59" s="2">
        <f>IF($D59&gt;0,$E59/$D59,"")</f>
        <v/>
      </c>
      <c r="G59" s="2">
        <f>IF($D59="","",$D59-SUMIF(SKU_MATERIALS!$E:$E,$A59,SKU_MATERIALS!$G:$G))</f>
        <v/>
      </c>
      <c r="I59" s="2">
        <f>IF($G59="","",IF($G59&lt;=0,"Out of stock",IF(AND($H59&lt;&gt;"",$G59&lt;=$H59),"Running low","In stock")))</f>
        <v/>
      </c>
    </row>
    <row r="60">
      <c r="F60" s="2">
        <f>IF($D60&gt;0,$E60/$D60,"")</f>
        <v/>
      </c>
      <c r="G60" s="2">
        <f>IF($D60="","",$D60-SUMIF(SKU_MATERIALS!$E:$E,$A60,SKU_MATERIALS!$G:$G))</f>
        <v/>
      </c>
      <c r="I60" s="2">
        <f>IF($G60="","",IF($G60&lt;=0,"Out of stock",IF(AND($H60&lt;&gt;"",$G60&lt;=$H60),"Running low","In stock")))</f>
        <v/>
      </c>
    </row>
    <row r="61">
      <c r="F61" s="2">
        <f>IF($D61&gt;0,$E61/$D61,"")</f>
        <v/>
      </c>
      <c r="G61" s="2">
        <f>IF($D61="","",$D61-SUMIF(SKU_MATERIALS!$E:$E,$A61,SKU_MATERIALS!$G:$G))</f>
        <v/>
      </c>
      <c r="I61" s="2">
        <f>IF($G61="","",IF($G61&lt;=0,"Out of stock",IF(AND($H61&lt;&gt;"",$G61&lt;=$H61),"Running low","In stock")))</f>
        <v/>
      </c>
    </row>
    <row r="62">
      <c r="F62" s="2">
        <f>IF($D62&gt;0,$E62/$D62,"")</f>
        <v/>
      </c>
      <c r="G62" s="2">
        <f>IF($D62="","",$D62-SUMIF(SKU_MATERIALS!$E:$E,$A62,SKU_MATERIALS!$G:$G))</f>
        <v/>
      </c>
      <c r="I62" s="2">
        <f>IF($G62="","",IF($G62&lt;=0,"Out of stock",IF(AND($H62&lt;&gt;"",$G62&lt;=$H62),"Running low","In stock")))</f>
        <v/>
      </c>
    </row>
    <row r="63">
      <c r="F63" s="2">
        <f>IF($D63&gt;0,$E63/$D63,"")</f>
        <v/>
      </c>
      <c r="G63" s="2">
        <f>IF($D63="","",$D63-SUMIF(SKU_MATERIALS!$E:$E,$A63,SKU_MATERIALS!$G:$G))</f>
        <v/>
      </c>
      <c r="I63" s="2">
        <f>IF($G63="","",IF($G63&lt;=0,"Out of stock",IF(AND($H63&lt;&gt;"",$G63&lt;=$H63),"Running low","In stock")))</f>
        <v/>
      </c>
    </row>
    <row r="64">
      <c r="F64" s="2">
        <f>IF($D64&gt;0,$E64/$D64,"")</f>
        <v/>
      </c>
      <c r="G64" s="2">
        <f>IF($D64="","",$D64-SUMIF(SKU_MATERIALS!$E:$E,$A64,SKU_MATERIALS!$G:$G))</f>
        <v/>
      </c>
      <c r="I64" s="2">
        <f>IF($G64="","",IF($G64&lt;=0,"Out of stock",IF(AND($H64&lt;&gt;"",$G64&lt;=$H64),"Running low","In stock")))</f>
        <v/>
      </c>
    </row>
    <row r="65">
      <c r="F65" s="2">
        <f>IF($D65&gt;0,$E65/$D65,"")</f>
        <v/>
      </c>
      <c r="G65" s="2">
        <f>IF($D65="","",$D65-SUMIF(SKU_MATERIALS!$E:$E,$A65,SKU_MATERIALS!$G:$G))</f>
        <v/>
      </c>
      <c r="I65" s="2">
        <f>IF($G65="","",IF($G65&lt;=0,"Out of stock",IF(AND($H65&lt;&gt;"",$G65&lt;=$H65),"Running low","In stock")))</f>
        <v/>
      </c>
    </row>
    <row r="66">
      <c r="F66" s="2">
        <f>IF($D66&gt;0,$E66/$D66,"")</f>
        <v/>
      </c>
      <c r="G66" s="2">
        <f>IF($D66="","",$D66-SUMIF(SKU_MATERIALS!$E:$E,$A66,SKU_MATERIALS!$G:$G))</f>
        <v/>
      </c>
      <c r="I66" s="2">
        <f>IF($G66="","",IF($G66&lt;=0,"Out of stock",IF(AND($H66&lt;&gt;"",$G66&lt;=$H66),"Running low","In stock")))</f>
        <v/>
      </c>
    </row>
    <row r="67">
      <c r="F67" s="2">
        <f>IF($D67&gt;0,$E67/$D67,"")</f>
        <v/>
      </c>
      <c r="G67" s="2">
        <f>IF($D67="","",$D67-SUMIF(SKU_MATERIALS!$E:$E,$A67,SKU_MATERIALS!$G:$G))</f>
        <v/>
      </c>
      <c r="I67" s="2">
        <f>IF($G67="","",IF($G67&lt;=0,"Out of stock",IF(AND($H67&lt;&gt;"",$G67&lt;=$H67),"Running low","In stock")))</f>
        <v/>
      </c>
    </row>
    <row r="68">
      <c r="F68" s="2">
        <f>IF($D68&gt;0,$E68/$D68,"")</f>
        <v/>
      </c>
      <c r="G68" s="2">
        <f>IF($D68="","",$D68-SUMIF(SKU_MATERIALS!$E:$E,$A68,SKU_MATERIALS!$G:$G))</f>
        <v/>
      </c>
      <c r="I68" s="2">
        <f>IF($G68="","",IF($G68&lt;=0,"Out of stock",IF(AND($H68&lt;&gt;"",$G68&lt;=$H68),"Running low","In stock")))</f>
        <v/>
      </c>
    </row>
    <row r="69">
      <c r="F69" s="2">
        <f>IF($D69&gt;0,$E69/$D69,"")</f>
        <v/>
      </c>
      <c r="G69" s="2">
        <f>IF($D69="","",$D69-SUMIF(SKU_MATERIALS!$E:$E,$A69,SKU_MATERIALS!$G:$G))</f>
        <v/>
      </c>
      <c r="I69" s="2">
        <f>IF($G69="","",IF($G69&lt;=0,"Out of stock",IF(AND($H69&lt;&gt;"",$G69&lt;=$H69),"Running low","In stock")))</f>
        <v/>
      </c>
    </row>
    <row r="70">
      <c r="F70" s="2">
        <f>IF($D70&gt;0,$E70/$D70,"")</f>
        <v/>
      </c>
      <c r="G70" s="2">
        <f>IF($D70="","",$D70-SUMIF(SKU_MATERIALS!$E:$E,$A70,SKU_MATERIALS!$G:$G))</f>
        <v/>
      </c>
      <c r="I70" s="2">
        <f>IF($G70="","",IF($G70&lt;=0,"Out of stock",IF(AND($H70&lt;&gt;"",$G70&lt;=$H70),"Running low","In stock")))</f>
        <v/>
      </c>
    </row>
    <row r="71">
      <c r="F71" s="2">
        <f>IF($D71&gt;0,$E71/$D71,"")</f>
        <v/>
      </c>
      <c r="G71" s="2">
        <f>IF($D71="","",$D71-SUMIF(SKU_MATERIALS!$E:$E,$A71,SKU_MATERIALS!$G:$G))</f>
        <v/>
      </c>
      <c r="I71" s="2">
        <f>IF($G71="","",IF($G71&lt;=0,"Out of stock",IF(AND($H71&lt;&gt;"",$G71&lt;=$H71),"Running low","In stock")))</f>
        <v/>
      </c>
    </row>
    <row r="72">
      <c r="F72" s="2">
        <f>IF($D72&gt;0,$E72/$D72,"")</f>
        <v/>
      </c>
      <c r="G72" s="2">
        <f>IF($D72="","",$D72-SUMIF(SKU_MATERIALS!$E:$E,$A72,SKU_MATERIALS!$G:$G))</f>
        <v/>
      </c>
      <c r="I72" s="2">
        <f>IF($G72="","",IF($G72&lt;=0,"Out of stock",IF(AND($H72&lt;&gt;"",$G72&lt;=$H72),"Running low","In stock")))</f>
        <v/>
      </c>
    </row>
    <row r="73">
      <c r="F73" s="2">
        <f>IF($D73&gt;0,$E73/$D73,"")</f>
        <v/>
      </c>
      <c r="G73" s="2">
        <f>IF($D73="","",$D73-SUMIF(SKU_MATERIALS!$E:$E,$A73,SKU_MATERIALS!$G:$G))</f>
        <v/>
      </c>
      <c r="I73" s="2">
        <f>IF($G73="","",IF($G73&lt;=0,"Out of stock",IF(AND($H73&lt;&gt;"",$G73&lt;=$H73),"Running low","In stock")))</f>
        <v/>
      </c>
    </row>
    <row r="74">
      <c r="F74" s="2">
        <f>IF($D74&gt;0,$E74/$D74,"")</f>
        <v/>
      </c>
      <c r="G74" s="2">
        <f>IF($D74="","",$D74-SUMIF(SKU_MATERIALS!$E:$E,$A74,SKU_MATERIALS!$G:$G))</f>
        <v/>
      </c>
      <c r="I74" s="2">
        <f>IF($G74="","",IF($G74&lt;=0,"Out of stock",IF(AND($H74&lt;&gt;"",$G74&lt;=$H74),"Running low","In stock")))</f>
        <v/>
      </c>
    </row>
    <row r="75">
      <c r="F75" s="2">
        <f>IF($D75&gt;0,$E75/$D75,"")</f>
        <v/>
      </c>
      <c r="G75" s="2">
        <f>IF($D75="","",$D75-SUMIF(SKU_MATERIALS!$E:$E,$A75,SKU_MATERIALS!$G:$G))</f>
        <v/>
      </c>
      <c r="I75" s="2">
        <f>IF($G75="","",IF($G75&lt;=0,"Out of stock",IF(AND($H75&lt;&gt;"",$G75&lt;=$H75),"Running low","In stock")))</f>
        <v/>
      </c>
    </row>
    <row r="76">
      <c r="F76" s="2">
        <f>IF($D76&gt;0,$E76/$D76,"")</f>
        <v/>
      </c>
      <c r="G76" s="2">
        <f>IF($D76="","",$D76-SUMIF(SKU_MATERIALS!$E:$E,$A76,SKU_MATERIALS!$G:$G))</f>
        <v/>
      </c>
      <c r="I76" s="2">
        <f>IF($G76="","",IF($G76&lt;=0,"Out of stock",IF(AND($H76&lt;&gt;"",$G76&lt;=$H76),"Running low","In stock")))</f>
        <v/>
      </c>
    </row>
    <row r="77">
      <c r="F77" s="2">
        <f>IF($D77&gt;0,$E77/$D77,"")</f>
        <v/>
      </c>
      <c r="G77" s="2">
        <f>IF($D77="","",$D77-SUMIF(SKU_MATERIALS!$E:$E,$A77,SKU_MATERIALS!$G:$G))</f>
        <v/>
      </c>
      <c r="I77" s="2">
        <f>IF($G77="","",IF($G77&lt;=0,"Out of stock",IF(AND($H77&lt;&gt;"",$G77&lt;=$H77),"Running low","In stock")))</f>
        <v/>
      </c>
    </row>
    <row r="78">
      <c r="F78" s="2">
        <f>IF($D78&gt;0,$E78/$D78,"")</f>
        <v/>
      </c>
      <c r="G78" s="2">
        <f>IF($D78="","",$D78-SUMIF(SKU_MATERIALS!$E:$E,$A78,SKU_MATERIALS!$G:$G))</f>
        <v/>
      </c>
      <c r="I78" s="2">
        <f>IF($G78="","",IF($G78&lt;=0,"Out of stock",IF(AND($H78&lt;&gt;"",$G78&lt;=$H78),"Running low","In stock")))</f>
        <v/>
      </c>
    </row>
    <row r="79">
      <c r="F79" s="2">
        <f>IF($D79&gt;0,$E79/$D79,"")</f>
        <v/>
      </c>
      <c r="G79" s="2">
        <f>IF($D79="","",$D79-SUMIF(SKU_MATERIALS!$E:$E,$A79,SKU_MATERIALS!$G:$G))</f>
        <v/>
      </c>
      <c r="I79" s="2">
        <f>IF($G79="","",IF($G79&lt;=0,"Out of stock",IF(AND($H79&lt;&gt;"",$G79&lt;=$H79),"Running low","In stock")))</f>
        <v/>
      </c>
    </row>
    <row r="80">
      <c r="F80" s="2">
        <f>IF($D80&gt;0,$E80/$D80,"")</f>
        <v/>
      </c>
      <c r="G80" s="2">
        <f>IF($D80="","",$D80-SUMIF(SKU_MATERIALS!$E:$E,$A80,SKU_MATERIALS!$G:$G))</f>
        <v/>
      </c>
      <c r="I80" s="2">
        <f>IF($G80="","",IF($G80&lt;=0,"Out of stock",IF(AND($H80&lt;&gt;"",$G80&lt;=$H80),"Running low","In stock")))</f>
        <v/>
      </c>
    </row>
    <row r="81">
      <c r="F81" s="2">
        <f>IF($D81&gt;0,$E81/$D81,"")</f>
        <v/>
      </c>
      <c r="G81" s="2">
        <f>IF($D81="","",$D81-SUMIF(SKU_MATERIALS!$E:$E,$A81,SKU_MATERIALS!$G:$G))</f>
        <v/>
      </c>
      <c r="I81" s="2">
        <f>IF($G81="","",IF($G81&lt;=0,"Out of stock",IF(AND($H81&lt;&gt;"",$G81&lt;=$H81),"Running low","In stock")))</f>
        <v/>
      </c>
    </row>
    <row r="82">
      <c r="F82" s="2">
        <f>IF($D82&gt;0,$E82/$D82,"")</f>
        <v/>
      </c>
      <c r="G82" s="2">
        <f>IF($D82="","",$D82-SUMIF(SKU_MATERIALS!$E:$E,$A82,SKU_MATERIALS!$G:$G))</f>
        <v/>
      </c>
      <c r="I82" s="2">
        <f>IF($G82="","",IF($G82&lt;=0,"Out of stock",IF(AND($H82&lt;&gt;"",$G82&lt;=$H82),"Running low","In stock")))</f>
        <v/>
      </c>
    </row>
    <row r="83">
      <c r="F83" s="2">
        <f>IF($D83&gt;0,$E83/$D83,"")</f>
        <v/>
      </c>
      <c r="G83" s="2">
        <f>IF($D83="","",$D83-SUMIF(SKU_MATERIALS!$E:$E,$A83,SKU_MATERIALS!$G:$G))</f>
        <v/>
      </c>
      <c r="I83" s="2">
        <f>IF($G83="","",IF($G83&lt;=0,"Out of stock",IF(AND($H83&lt;&gt;"",$G83&lt;=$H83),"Running low","In stock")))</f>
        <v/>
      </c>
    </row>
    <row r="84">
      <c r="F84" s="2">
        <f>IF($D84&gt;0,$E84/$D84,"")</f>
        <v/>
      </c>
      <c r="G84" s="2">
        <f>IF($D84="","",$D84-SUMIF(SKU_MATERIALS!$E:$E,$A84,SKU_MATERIALS!$G:$G))</f>
        <v/>
      </c>
      <c r="I84" s="2">
        <f>IF($G84="","",IF($G84&lt;=0,"Out of stock",IF(AND($H84&lt;&gt;"",$G84&lt;=$H84),"Running low","In stock")))</f>
        <v/>
      </c>
    </row>
    <row r="85">
      <c r="F85" s="2">
        <f>IF($D85&gt;0,$E85/$D85,"")</f>
        <v/>
      </c>
      <c r="G85" s="2">
        <f>IF($D85="","",$D85-SUMIF(SKU_MATERIALS!$E:$E,$A85,SKU_MATERIALS!$G:$G))</f>
        <v/>
      </c>
      <c r="I85" s="2">
        <f>IF($G85="","",IF($G85&lt;=0,"Out of stock",IF(AND($H85&lt;&gt;"",$G85&lt;=$H85),"Running low","In stock")))</f>
        <v/>
      </c>
    </row>
    <row r="86">
      <c r="F86" s="2">
        <f>IF($D86&gt;0,$E86/$D86,"")</f>
        <v/>
      </c>
      <c r="G86" s="2">
        <f>IF($D86="","",$D86-SUMIF(SKU_MATERIALS!$E:$E,$A86,SKU_MATERIALS!$G:$G))</f>
        <v/>
      </c>
      <c r="I86" s="2">
        <f>IF($G86="","",IF($G86&lt;=0,"Out of stock",IF(AND($H86&lt;&gt;"",$G86&lt;=$H86),"Running low","In stock")))</f>
        <v/>
      </c>
    </row>
    <row r="87">
      <c r="F87" s="2">
        <f>IF($D87&gt;0,$E87/$D87,"")</f>
        <v/>
      </c>
      <c r="G87" s="2">
        <f>IF($D87="","",$D87-SUMIF(SKU_MATERIALS!$E:$E,$A87,SKU_MATERIALS!$G:$G))</f>
        <v/>
      </c>
      <c r="I87" s="2">
        <f>IF($G87="","",IF($G87&lt;=0,"Out of stock",IF(AND($H87&lt;&gt;"",$G87&lt;=$H87),"Running low","In stock")))</f>
        <v/>
      </c>
    </row>
    <row r="88">
      <c r="F88" s="2">
        <f>IF($D88&gt;0,$E88/$D88,"")</f>
        <v/>
      </c>
      <c r="G88" s="2">
        <f>IF($D88="","",$D88-SUMIF(SKU_MATERIALS!$E:$E,$A88,SKU_MATERIALS!$G:$G))</f>
        <v/>
      </c>
      <c r="I88" s="2">
        <f>IF($G88="","",IF($G88&lt;=0,"Out of stock",IF(AND($H88&lt;&gt;"",$G88&lt;=$H88),"Running low","In stock")))</f>
        <v/>
      </c>
    </row>
    <row r="89">
      <c r="F89" s="2">
        <f>IF($D89&gt;0,$E89/$D89,"")</f>
        <v/>
      </c>
      <c r="G89" s="2">
        <f>IF($D89="","",$D89-SUMIF(SKU_MATERIALS!$E:$E,$A89,SKU_MATERIALS!$G:$G))</f>
        <v/>
      </c>
      <c r="I89" s="2">
        <f>IF($G89="","",IF($G89&lt;=0,"Out of stock",IF(AND($H89&lt;&gt;"",$G89&lt;=$H89),"Running low","In stock")))</f>
        <v/>
      </c>
    </row>
    <row r="90">
      <c r="F90" s="2">
        <f>IF($D90&gt;0,$E90/$D90,"")</f>
        <v/>
      </c>
      <c r="G90" s="2">
        <f>IF($D90="","",$D90-SUMIF(SKU_MATERIALS!$E:$E,$A90,SKU_MATERIALS!$G:$G))</f>
        <v/>
      </c>
      <c r="I90" s="2">
        <f>IF($G90="","",IF($G90&lt;=0,"Out of stock",IF(AND($H90&lt;&gt;"",$G90&lt;=$H90),"Running low","In stock")))</f>
        <v/>
      </c>
    </row>
    <row r="91">
      <c r="F91" s="2">
        <f>IF($D91&gt;0,$E91/$D91,"")</f>
        <v/>
      </c>
      <c r="G91" s="2">
        <f>IF($D91="","",$D91-SUMIF(SKU_MATERIALS!$E:$E,$A91,SKU_MATERIALS!$G:$G))</f>
        <v/>
      </c>
      <c r="I91" s="2">
        <f>IF($G91="","",IF($G91&lt;=0,"Out of stock",IF(AND($H91&lt;&gt;"",$G91&lt;=$H91),"Running low","In stock")))</f>
        <v/>
      </c>
    </row>
    <row r="92">
      <c r="F92" s="2">
        <f>IF($D92&gt;0,$E92/$D92,"")</f>
        <v/>
      </c>
      <c r="G92" s="2">
        <f>IF($D92="","",$D92-SUMIF(SKU_MATERIALS!$E:$E,$A92,SKU_MATERIALS!$G:$G))</f>
        <v/>
      </c>
      <c r="I92" s="2">
        <f>IF($G92="","",IF($G92&lt;=0,"Out of stock",IF(AND($H92&lt;&gt;"",$G92&lt;=$H92),"Running low","In stock")))</f>
        <v/>
      </c>
    </row>
    <row r="93">
      <c r="F93" s="2">
        <f>IF($D93&gt;0,$E93/$D93,"")</f>
        <v/>
      </c>
      <c r="G93" s="2">
        <f>IF($D93="","",$D93-SUMIF(SKU_MATERIALS!$E:$E,$A93,SKU_MATERIALS!$G:$G))</f>
        <v/>
      </c>
      <c r="I93" s="2">
        <f>IF($G93="","",IF($G93&lt;=0,"Out of stock",IF(AND($H93&lt;&gt;"",$G93&lt;=$H93),"Running low","In stock")))</f>
        <v/>
      </c>
    </row>
    <row r="94">
      <c r="F94" s="2">
        <f>IF($D94&gt;0,$E94/$D94,"")</f>
        <v/>
      </c>
      <c r="G94" s="2">
        <f>IF($D94="","",$D94-SUMIF(SKU_MATERIALS!$E:$E,$A94,SKU_MATERIALS!$G:$G))</f>
        <v/>
      </c>
      <c r="I94" s="2">
        <f>IF($G94="","",IF($G94&lt;=0,"Out of stock",IF(AND($H94&lt;&gt;"",$G94&lt;=$H94),"Running low","In stock")))</f>
        <v/>
      </c>
    </row>
    <row r="95">
      <c r="F95" s="2">
        <f>IF($D95&gt;0,$E95/$D95,"")</f>
        <v/>
      </c>
      <c r="G95" s="2">
        <f>IF($D95="","",$D95-SUMIF(SKU_MATERIALS!$E:$E,$A95,SKU_MATERIALS!$G:$G))</f>
        <v/>
      </c>
      <c r="I95" s="2">
        <f>IF($G95="","",IF($G95&lt;=0,"Out of stock",IF(AND($H95&lt;&gt;"",$G95&lt;=$H95),"Running low","In stock")))</f>
        <v/>
      </c>
    </row>
    <row r="96">
      <c r="F96" s="2">
        <f>IF($D96&gt;0,$E96/$D96,"")</f>
        <v/>
      </c>
      <c r="G96" s="2">
        <f>IF($D96="","",$D96-SUMIF(SKU_MATERIALS!$E:$E,$A96,SKU_MATERIALS!$G:$G))</f>
        <v/>
      </c>
      <c r="I96" s="2">
        <f>IF($G96="","",IF($G96&lt;=0,"Out of stock",IF(AND($H96&lt;&gt;"",$G96&lt;=$H96),"Running low","In stock")))</f>
        <v/>
      </c>
    </row>
    <row r="97">
      <c r="F97" s="2">
        <f>IF($D97&gt;0,$E97/$D97,"")</f>
        <v/>
      </c>
      <c r="G97" s="2">
        <f>IF($D97="","",$D97-SUMIF(SKU_MATERIALS!$E:$E,$A97,SKU_MATERIALS!$G:$G))</f>
        <v/>
      </c>
      <c r="I97" s="2">
        <f>IF($G97="","",IF($G97&lt;=0,"Out of stock",IF(AND($H97&lt;&gt;"",$G97&lt;=$H97),"Running low","In stock")))</f>
        <v/>
      </c>
    </row>
    <row r="98">
      <c r="F98" s="2">
        <f>IF($D98&gt;0,$E98/$D98,"")</f>
        <v/>
      </c>
      <c r="G98" s="2">
        <f>IF($D98="","",$D98-SUMIF(SKU_MATERIALS!$E:$E,$A98,SKU_MATERIALS!$G:$G))</f>
        <v/>
      </c>
      <c r="I98" s="2">
        <f>IF($G98="","",IF($G98&lt;=0,"Out of stock",IF(AND($H98&lt;&gt;"",$G98&lt;=$H98),"Running low","In stock")))</f>
        <v/>
      </c>
    </row>
    <row r="99">
      <c r="F99" s="2">
        <f>IF($D99&gt;0,$E99/$D99,"")</f>
        <v/>
      </c>
      <c r="G99" s="2">
        <f>IF($D99="","",$D99-SUMIF(SKU_MATERIALS!$E:$E,$A99,SKU_MATERIALS!$G:$G))</f>
        <v/>
      </c>
      <c r="I99" s="2">
        <f>IF($G99="","",IF($G99&lt;=0,"Out of stock",IF(AND($H99&lt;&gt;"",$G99&lt;=$H99),"Running low","In stock")))</f>
        <v/>
      </c>
    </row>
    <row r="100">
      <c r="F100" s="2">
        <f>IF($D100&gt;0,$E100/$D100,"")</f>
        <v/>
      </c>
      <c r="G100" s="2">
        <f>IF($D100="","",$D100-SUMIF(SKU_MATERIALS!$E:$E,$A100,SKU_MATERIALS!$G:$G))</f>
        <v/>
      </c>
      <c r="I100" s="2">
        <f>IF($G100="","",IF($G100&lt;=0,"Out of stock",IF(AND($H100&lt;&gt;"",$G100&lt;=$H100),"Running low","In stock")))</f>
        <v/>
      </c>
    </row>
  </sheetData>
  <dataValidations count="3">
    <dataValidation sqref="B2:B100" showDropDown="0" showInputMessage="0" showErrorMessage="0" allowBlank="1" type="list">
      <formula1>"Fabric,Thread,Paint,Dye,Button,Trim,Packaging,Article,Other"</formula1>
    </dataValidation>
    <dataValidation sqref="C2:C100" showDropDown="0" showInputMessage="0" showErrorMessage="0" allowBlank="1" type="list">
      <formula1>"metre,spool,jar,piece,packet,kg,set"</formula1>
    </dataValidation>
    <dataValidation sqref="J2:J1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date</t>
        </is>
      </c>
      <c r="B1" s="1" t="inlineStr">
        <is>
          <t>month</t>
        </is>
      </c>
      <c r="C1" s="1" t="inlineStr">
        <is>
          <t>sku</t>
        </is>
      </c>
      <c r="D1" s="1" t="inlineStr">
        <is>
          <t>style_family</t>
        </is>
      </c>
      <c r="E1" s="1" t="inlineStr">
        <is>
          <t>material</t>
        </is>
      </c>
      <c r="F1" s="1" t="inlineStr">
        <is>
          <t>use_type</t>
        </is>
      </c>
      <c r="G1" s="1" t="inlineStr">
        <is>
          <t>qty_used</t>
        </is>
      </c>
      <c r="H1" s="1" t="inlineStr">
        <is>
          <t>unit</t>
        </is>
      </c>
      <c r="I1" s="1" t="inlineStr">
        <is>
          <t>rate</t>
        </is>
      </c>
      <c r="J1" s="1" t="inlineStr">
        <is>
          <t>cost</t>
        </is>
      </c>
      <c r="K1" s="1" t="inlineStr">
        <is>
          <t>notes</t>
        </is>
      </c>
    </row>
    <row r="2">
      <c r="A2" s="3" t="inlineStr">
        <is>
          <t>02/07/2026</t>
        </is>
      </c>
      <c r="B2" s="2">
        <f>IFERROR(TEXT($A2,"YYYY-MM"),"")</f>
        <v/>
      </c>
      <c r="C2" s="3" t="inlineStr">
        <is>
          <t>HB1HE-HH</t>
        </is>
      </c>
      <c r="D2" s="2">
        <f>IFERROR(VLOOKUP($C2,INVENTORY!$A:$B,2,FALSE),"")</f>
        <v/>
      </c>
      <c r="E2" s="3" t="inlineStr">
        <is>
          <t>Bamboo</t>
        </is>
      </c>
      <c r="F2" s="3" t="inlineStr">
        <is>
          <t>Production</t>
        </is>
      </c>
      <c r="G2" s="3" t="n">
        <v>6</v>
      </c>
      <c r="H2" s="2">
        <f>IFERROR(VLOOKUP($E2,MATERIALS!$A:$C,3,FALSE),"")</f>
        <v/>
      </c>
      <c r="I2" s="2">
        <f>IFERROR(VLOOKUP($E2,MATERIALS!$A:$F,6,FALSE),"")</f>
        <v/>
      </c>
      <c r="J2" s="2">
        <f>IF(AND($G2&lt;&gt;"",$I2&lt;&gt;""),$G2*$I2,"")</f>
        <v/>
      </c>
      <c r="K2" s="3" t="inlineStr">
        <is>
          <t>shirt body</t>
        </is>
      </c>
    </row>
    <row r="3">
      <c r="A3" s="3" t="inlineStr">
        <is>
          <t>28/06/2026</t>
        </is>
      </c>
      <c r="B3" s="2">
        <f>IFERROR(TEXT($A3,"YYYY-MM"),"")</f>
        <v/>
      </c>
      <c r="C3" s="3" t="inlineStr"/>
      <c r="D3" s="2">
        <f>IFERROR(VLOOKUP($C3,INVENTORY!$A:$B,2,FALSE),"")</f>
        <v/>
      </c>
      <c r="E3" s="3" t="inlineStr">
        <is>
          <t>Bamboo</t>
        </is>
      </c>
      <c r="F3" s="3" t="inlineStr">
        <is>
          <t>R&amp;D</t>
        </is>
      </c>
      <c r="G3" s="3" t="n">
        <v>3</v>
      </c>
      <c r="H3" s="2">
        <f>IFERROR(VLOOKUP($E3,MATERIALS!$A:$C,3,FALSE),"")</f>
        <v/>
      </c>
      <c r="I3" s="2">
        <f>IFERROR(VLOOKUP($E3,MATERIALS!$A:$F,6,FALSE),"")</f>
        <v/>
      </c>
      <c r="J3" s="2">
        <f>IF(AND($G3&lt;&gt;"",$I3&lt;&gt;""),$G3*$I3,"")</f>
        <v/>
      </c>
      <c r="K3" s="3" t="inlineStr">
        <is>
          <t>sampling</t>
        </is>
      </c>
    </row>
    <row r="4">
      <c r="B4" s="2">
        <f>IFERROR(TEXT($A4,"YYYY-MM"),"")</f>
        <v/>
      </c>
      <c r="D4" s="2">
        <f>IFERROR(VLOOKUP($C4,INVENTORY!$A:$B,2,FALSE),"")</f>
        <v/>
      </c>
      <c r="H4" s="2">
        <f>IFERROR(VLOOKUP($E4,MATERIALS!$A:$C,3,FALSE),"")</f>
        <v/>
      </c>
      <c r="I4" s="2">
        <f>IFERROR(VLOOKUP($E4,MATERIALS!$A:$F,6,FALSE),"")</f>
        <v/>
      </c>
      <c r="J4" s="2">
        <f>IF(AND($G4&lt;&gt;"",$I4&lt;&gt;""),$G4*$I4,"")</f>
        <v/>
      </c>
    </row>
    <row r="5">
      <c r="B5" s="2">
        <f>IFERROR(TEXT($A5,"YYYY-MM"),"")</f>
        <v/>
      </c>
      <c r="D5" s="2">
        <f>IFERROR(VLOOKUP($C5,INVENTORY!$A:$B,2,FALSE),"")</f>
        <v/>
      </c>
      <c r="H5" s="2">
        <f>IFERROR(VLOOKUP($E5,MATERIALS!$A:$C,3,FALSE),"")</f>
        <v/>
      </c>
      <c r="I5" s="2">
        <f>IFERROR(VLOOKUP($E5,MATERIALS!$A:$F,6,FALSE),"")</f>
        <v/>
      </c>
      <c r="J5" s="2">
        <f>IF(AND($G5&lt;&gt;"",$I5&lt;&gt;""),$G5*$I5,"")</f>
        <v/>
      </c>
    </row>
    <row r="6">
      <c r="B6" s="2">
        <f>IFERROR(TEXT($A6,"YYYY-MM"),"")</f>
        <v/>
      </c>
      <c r="D6" s="2">
        <f>IFERROR(VLOOKUP($C6,INVENTORY!$A:$B,2,FALSE),"")</f>
        <v/>
      </c>
      <c r="H6" s="2">
        <f>IFERROR(VLOOKUP($E6,MATERIALS!$A:$C,3,FALSE),"")</f>
        <v/>
      </c>
      <c r="I6" s="2">
        <f>IFERROR(VLOOKUP($E6,MATERIALS!$A:$F,6,FALSE),"")</f>
        <v/>
      </c>
      <c r="J6" s="2">
        <f>IF(AND($G6&lt;&gt;"",$I6&lt;&gt;""),$G6*$I6,"")</f>
        <v/>
      </c>
    </row>
    <row r="7">
      <c r="B7" s="2">
        <f>IFERROR(TEXT($A7,"YYYY-MM"),"")</f>
        <v/>
      </c>
      <c r="D7" s="2">
        <f>IFERROR(VLOOKUP($C7,INVENTORY!$A:$B,2,FALSE),"")</f>
        <v/>
      </c>
      <c r="H7" s="2">
        <f>IFERROR(VLOOKUP($E7,MATERIALS!$A:$C,3,FALSE),"")</f>
        <v/>
      </c>
      <c r="I7" s="2">
        <f>IFERROR(VLOOKUP($E7,MATERIALS!$A:$F,6,FALSE),"")</f>
        <v/>
      </c>
      <c r="J7" s="2">
        <f>IF(AND($G7&lt;&gt;"",$I7&lt;&gt;""),$G7*$I7,"")</f>
        <v/>
      </c>
    </row>
    <row r="8">
      <c r="B8" s="2">
        <f>IFERROR(TEXT($A8,"YYYY-MM"),"")</f>
        <v/>
      </c>
      <c r="D8" s="2">
        <f>IFERROR(VLOOKUP($C8,INVENTORY!$A:$B,2,FALSE),"")</f>
        <v/>
      </c>
      <c r="H8" s="2">
        <f>IFERROR(VLOOKUP($E8,MATERIALS!$A:$C,3,FALSE),"")</f>
        <v/>
      </c>
      <c r="I8" s="2">
        <f>IFERROR(VLOOKUP($E8,MATERIALS!$A:$F,6,FALSE),"")</f>
        <v/>
      </c>
      <c r="J8" s="2">
        <f>IF(AND($G8&lt;&gt;"",$I8&lt;&gt;""),$G8*$I8,"")</f>
        <v/>
      </c>
    </row>
    <row r="9">
      <c r="B9" s="2">
        <f>IFERROR(TEXT($A9,"YYYY-MM"),"")</f>
        <v/>
      </c>
      <c r="D9" s="2">
        <f>IFERROR(VLOOKUP($C9,INVENTORY!$A:$B,2,FALSE),"")</f>
        <v/>
      </c>
      <c r="H9" s="2">
        <f>IFERROR(VLOOKUP($E9,MATERIALS!$A:$C,3,FALSE),"")</f>
        <v/>
      </c>
      <c r="I9" s="2">
        <f>IFERROR(VLOOKUP($E9,MATERIALS!$A:$F,6,FALSE),"")</f>
        <v/>
      </c>
      <c r="J9" s="2">
        <f>IF(AND($G9&lt;&gt;"",$I9&lt;&gt;""),$G9*$I9,"")</f>
        <v/>
      </c>
    </row>
    <row r="10">
      <c r="B10" s="2">
        <f>IFERROR(TEXT($A10,"YYYY-MM"),"")</f>
        <v/>
      </c>
      <c r="D10" s="2">
        <f>IFERROR(VLOOKUP($C10,INVENTORY!$A:$B,2,FALSE),"")</f>
        <v/>
      </c>
      <c r="H10" s="2">
        <f>IFERROR(VLOOKUP($E10,MATERIALS!$A:$C,3,FALSE),"")</f>
        <v/>
      </c>
      <c r="I10" s="2">
        <f>IFERROR(VLOOKUP($E10,MATERIALS!$A:$F,6,FALSE),"")</f>
        <v/>
      </c>
      <c r="J10" s="2">
        <f>IF(AND($G10&lt;&gt;"",$I10&lt;&gt;""),$G10*$I10,"")</f>
        <v/>
      </c>
    </row>
    <row r="11">
      <c r="B11" s="2">
        <f>IFERROR(TEXT($A11,"YYYY-MM"),"")</f>
        <v/>
      </c>
      <c r="D11" s="2">
        <f>IFERROR(VLOOKUP($C11,INVENTORY!$A:$B,2,FALSE),"")</f>
        <v/>
      </c>
      <c r="H11" s="2">
        <f>IFERROR(VLOOKUP($E11,MATERIALS!$A:$C,3,FALSE),"")</f>
        <v/>
      </c>
      <c r="I11" s="2">
        <f>IFERROR(VLOOKUP($E11,MATERIALS!$A:$F,6,FALSE),"")</f>
        <v/>
      </c>
      <c r="J11" s="2">
        <f>IF(AND($G11&lt;&gt;"",$I11&lt;&gt;""),$G11*$I11,"")</f>
        <v/>
      </c>
    </row>
    <row r="12">
      <c r="B12" s="2">
        <f>IFERROR(TEXT($A12,"YYYY-MM"),"")</f>
        <v/>
      </c>
      <c r="D12" s="2">
        <f>IFERROR(VLOOKUP($C12,INVENTORY!$A:$B,2,FALSE),"")</f>
        <v/>
      </c>
      <c r="H12" s="2">
        <f>IFERROR(VLOOKUP($E12,MATERIALS!$A:$C,3,FALSE),"")</f>
        <v/>
      </c>
      <c r="I12" s="2">
        <f>IFERROR(VLOOKUP($E12,MATERIALS!$A:$F,6,FALSE),"")</f>
        <v/>
      </c>
      <c r="J12" s="2">
        <f>IF(AND($G12&lt;&gt;"",$I12&lt;&gt;""),$G12*$I12,"")</f>
        <v/>
      </c>
    </row>
    <row r="13">
      <c r="B13" s="2">
        <f>IFERROR(TEXT($A13,"YYYY-MM"),"")</f>
        <v/>
      </c>
      <c r="D13" s="2">
        <f>IFERROR(VLOOKUP($C13,INVENTORY!$A:$B,2,FALSE),"")</f>
        <v/>
      </c>
      <c r="H13" s="2">
        <f>IFERROR(VLOOKUP($E13,MATERIALS!$A:$C,3,FALSE),"")</f>
        <v/>
      </c>
      <c r="I13" s="2">
        <f>IFERROR(VLOOKUP($E13,MATERIALS!$A:$F,6,FALSE),"")</f>
        <v/>
      </c>
      <c r="J13" s="2">
        <f>IF(AND($G13&lt;&gt;"",$I13&lt;&gt;""),$G13*$I13,"")</f>
        <v/>
      </c>
    </row>
    <row r="14">
      <c r="B14" s="2">
        <f>IFERROR(TEXT($A14,"YYYY-MM"),"")</f>
        <v/>
      </c>
      <c r="D14" s="2">
        <f>IFERROR(VLOOKUP($C14,INVENTORY!$A:$B,2,FALSE),"")</f>
        <v/>
      </c>
      <c r="H14" s="2">
        <f>IFERROR(VLOOKUP($E14,MATERIALS!$A:$C,3,FALSE),"")</f>
        <v/>
      </c>
      <c r="I14" s="2">
        <f>IFERROR(VLOOKUP($E14,MATERIALS!$A:$F,6,FALSE),"")</f>
        <v/>
      </c>
      <c r="J14" s="2">
        <f>IF(AND($G14&lt;&gt;"",$I14&lt;&gt;""),$G14*$I14,"")</f>
        <v/>
      </c>
    </row>
    <row r="15">
      <c r="B15" s="2">
        <f>IFERROR(TEXT($A15,"YYYY-MM"),"")</f>
        <v/>
      </c>
      <c r="D15" s="2">
        <f>IFERROR(VLOOKUP($C15,INVENTORY!$A:$B,2,FALSE),"")</f>
        <v/>
      </c>
      <c r="H15" s="2">
        <f>IFERROR(VLOOKUP($E15,MATERIALS!$A:$C,3,FALSE),"")</f>
        <v/>
      </c>
      <c r="I15" s="2">
        <f>IFERROR(VLOOKUP($E15,MATERIALS!$A:$F,6,FALSE),"")</f>
        <v/>
      </c>
      <c r="J15" s="2">
        <f>IF(AND($G15&lt;&gt;"",$I15&lt;&gt;""),$G15*$I15,"")</f>
        <v/>
      </c>
    </row>
    <row r="16">
      <c r="B16" s="2">
        <f>IFERROR(TEXT($A16,"YYYY-MM"),"")</f>
        <v/>
      </c>
      <c r="D16" s="2">
        <f>IFERROR(VLOOKUP($C16,INVENTORY!$A:$B,2,FALSE),"")</f>
        <v/>
      </c>
      <c r="H16" s="2">
        <f>IFERROR(VLOOKUP($E16,MATERIALS!$A:$C,3,FALSE),"")</f>
        <v/>
      </c>
      <c r="I16" s="2">
        <f>IFERROR(VLOOKUP($E16,MATERIALS!$A:$F,6,FALSE),"")</f>
        <v/>
      </c>
      <c r="J16" s="2">
        <f>IF(AND($G16&lt;&gt;"",$I16&lt;&gt;""),$G16*$I16,"")</f>
        <v/>
      </c>
    </row>
    <row r="17">
      <c r="B17" s="2">
        <f>IFERROR(TEXT($A17,"YYYY-MM"),"")</f>
        <v/>
      </c>
      <c r="D17" s="2">
        <f>IFERROR(VLOOKUP($C17,INVENTORY!$A:$B,2,FALSE),"")</f>
        <v/>
      </c>
      <c r="H17" s="2">
        <f>IFERROR(VLOOKUP($E17,MATERIALS!$A:$C,3,FALSE),"")</f>
        <v/>
      </c>
      <c r="I17" s="2">
        <f>IFERROR(VLOOKUP($E17,MATERIALS!$A:$F,6,FALSE),"")</f>
        <v/>
      </c>
      <c r="J17" s="2">
        <f>IF(AND($G17&lt;&gt;"",$I17&lt;&gt;""),$G17*$I17,"")</f>
        <v/>
      </c>
    </row>
    <row r="18">
      <c r="B18" s="2">
        <f>IFERROR(TEXT($A18,"YYYY-MM"),"")</f>
        <v/>
      </c>
      <c r="D18" s="2">
        <f>IFERROR(VLOOKUP($C18,INVENTORY!$A:$B,2,FALSE),"")</f>
        <v/>
      </c>
      <c r="H18" s="2">
        <f>IFERROR(VLOOKUP($E18,MATERIALS!$A:$C,3,FALSE),"")</f>
        <v/>
      </c>
      <c r="I18" s="2">
        <f>IFERROR(VLOOKUP($E18,MATERIALS!$A:$F,6,FALSE),"")</f>
        <v/>
      </c>
      <c r="J18" s="2">
        <f>IF(AND($G18&lt;&gt;"",$I18&lt;&gt;""),$G18*$I18,"")</f>
        <v/>
      </c>
    </row>
    <row r="19">
      <c r="B19" s="2">
        <f>IFERROR(TEXT($A19,"YYYY-MM"),"")</f>
        <v/>
      </c>
      <c r="D19" s="2">
        <f>IFERROR(VLOOKUP($C19,INVENTORY!$A:$B,2,FALSE),"")</f>
        <v/>
      </c>
      <c r="H19" s="2">
        <f>IFERROR(VLOOKUP($E19,MATERIALS!$A:$C,3,FALSE),"")</f>
        <v/>
      </c>
      <c r="I19" s="2">
        <f>IFERROR(VLOOKUP($E19,MATERIALS!$A:$F,6,FALSE),"")</f>
        <v/>
      </c>
      <c r="J19" s="2">
        <f>IF(AND($G19&lt;&gt;"",$I19&lt;&gt;""),$G19*$I19,"")</f>
        <v/>
      </c>
    </row>
    <row r="20">
      <c r="B20" s="2">
        <f>IFERROR(TEXT($A20,"YYYY-MM"),"")</f>
        <v/>
      </c>
      <c r="D20" s="2">
        <f>IFERROR(VLOOKUP($C20,INVENTORY!$A:$B,2,FALSE),"")</f>
        <v/>
      </c>
      <c r="H20" s="2">
        <f>IFERROR(VLOOKUP($E20,MATERIALS!$A:$C,3,FALSE),"")</f>
        <v/>
      </c>
      <c r="I20" s="2">
        <f>IFERROR(VLOOKUP($E20,MATERIALS!$A:$F,6,FALSE),"")</f>
        <v/>
      </c>
      <c r="J20" s="2">
        <f>IF(AND($G20&lt;&gt;"",$I20&lt;&gt;""),$G20*$I20,"")</f>
        <v/>
      </c>
    </row>
    <row r="21">
      <c r="B21" s="2">
        <f>IFERROR(TEXT($A21,"YYYY-MM"),"")</f>
        <v/>
      </c>
      <c r="D21" s="2">
        <f>IFERROR(VLOOKUP($C21,INVENTORY!$A:$B,2,FALSE),"")</f>
        <v/>
      </c>
      <c r="H21" s="2">
        <f>IFERROR(VLOOKUP($E21,MATERIALS!$A:$C,3,FALSE),"")</f>
        <v/>
      </c>
      <c r="I21" s="2">
        <f>IFERROR(VLOOKUP($E21,MATERIALS!$A:$F,6,FALSE),"")</f>
        <v/>
      </c>
      <c r="J21" s="2">
        <f>IF(AND($G21&lt;&gt;"",$I21&lt;&gt;""),$G21*$I21,"")</f>
        <v/>
      </c>
    </row>
    <row r="22">
      <c r="B22" s="2">
        <f>IFERROR(TEXT($A22,"YYYY-MM"),"")</f>
        <v/>
      </c>
      <c r="D22" s="2">
        <f>IFERROR(VLOOKUP($C22,INVENTORY!$A:$B,2,FALSE),"")</f>
        <v/>
      </c>
      <c r="H22" s="2">
        <f>IFERROR(VLOOKUP($E22,MATERIALS!$A:$C,3,FALSE),"")</f>
        <v/>
      </c>
      <c r="I22" s="2">
        <f>IFERROR(VLOOKUP($E22,MATERIALS!$A:$F,6,FALSE),"")</f>
        <v/>
      </c>
      <c r="J22" s="2">
        <f>IF(AND($G22&lt;&gt;"",$I22&lt;&gt;""),$G22*$I22,"")</f>
        <v/>
      </c>
    </row>
    <row r="23">
      <c r="B23" s="2">
        <f>IFERROR(TEXT($A23,"YYYY-MM"),"")</f>
        <v/>
      </c>
      <c r="D23" s="2">
        <f>IFERROR(VLOOKUP($C23,INVENTORY!$A:$B,2,FALSE),"")</f>
        <v/>
      </c>
      <c r="H23" s="2">
        <f>IFERROR(VLOOKUP($E23,MATERIALS!$A:$C,3,FALSE),"")</f>
        <v/>
      </c>
      <c r="I23" s="2">
        <f>IFERROR(VLOOKUP($E23,MATERIALS!$A:$F,6,FALSE),"")</f>
        <v/>
      </c>
      <c r="J23" s="2">
        <f>IF(AND($G23&lt;&gt;"",$I23&lt;&gt;""),$G23*$I23,"")</f>
        <v/>
      </c>
    </row>
    <row r="24">
      <c r="B24" s="2">
        <f>IFERROR(TEXT($A24,"YYYY-MM"),"")</f>
        <v/>
      </c>
      <c r="D24" s="2">
        <f>IFERROR(VLOOKUP($C24,INVENTORY!$A:$B,2,FALSE),"")</f>
        <v/>
      </c>
      <c r="H24" s="2">
        <f>IFERROR(VLOOKUP($E24,MATERIALS!$A:$C,3,FALSE),"")</f>
        <v/>
      </c>
      <c r="I24" s="2">
        <f>IFERROR(VLOOKUP($E24,MATERIALS!$A:$F,6,FALSE),"")</f>
        <v/>
      </c>
      <c r="J24" s="2">
        <f>IF(AND($G24&lt;&gt;"",$I24&lt;&gt;""),$G24*$I24,"")</f>
        <v/>
      </c>
    </row>
    <row r="25">
      <c r="B25" s="2">
        <f>IFERROR(TEXT($A25,"YYYY-MM"),"")</f>
        <v/>
      </c>
      <c r="D25" s="2">
        <f>IFERROR(VLOOKUP($C25,INVENTORY!$A:$B,2,FALSE),"")</f>
        <v/>
      </c>
      <c r="H25" s="2">
        <f>IFERROR(VLOOKUP($E25,MATERIALS!$A:$C,3,FALSE),"")</f>
        <v/>
      </c>
      <c r="I25" s="2">
        <f>IFERROR(VLOOKUP($E25,MATERIALS!$A:$F,6,FALSE),"")</f>
        <v/>
      </c>
      <c r="J25" s="2">
        <f>IF(AND($G25&lt;&gt;"",$I25&lt;&gt;""),$G25*$I25,"")</f>
        <v/>
      </c>
    </row>
    <row r="26">
      <c r="B26" s="2">
        <f>IFERROR(TEXT($A26,"YYYY-MM"),"")</f>
        <v/>
      </c>
      <c r="D26" s="2">
        <f>IFERROR(VLOOKUP($C26,INVENTORY!$A:$B,2,FALSE),"")</f>
        <v/>
      </c>
      <c r="H26" s="2">
        <f>IFERROR(VLOOKUP($E26,MATERIALS!$A:$C,3,FALSE),"")</f>
        <v/>
      </c>
      <c r="I26" s="2">
        <f>IFERROR(VLOOKUP($E26,MATERIALS!$A:$F,6,FALSE),"")</f>
        <v/>
      </c>
      <c r="J26" s="2">
        <f>IF(AND($G26&lt;&gt;"",$I26&lt;&gt;""),$G26*$I26,"")</f>
        <v/>
      </c>
    </row>
    <row r="27">
      <c r="B27" s="2">
        <f>IFERROR(TEXT($A27,"YYYY-MM"),"")</f>
        <v/>
      </c>
      <c r="D27" s="2">
        <f>IFERROR(VLOOKUP($C27,INVENTORY!$A:$B,2,FALSE),"")</f>
        <v/>
      </c>
      <c r="H27" s="2">
        <f>IFERROR(VLOOKUP($E27,MATERIALS!$A:$C,3,FALSE),"")</f>
        <v/>
      </c>
      <c r="I27" s="2">
        <f>IFERROR(VLOOKUP($E27,MATERIALS!$A:$F,6,FALSE),"")</f>
        <v/>
      </c>
      <c r="J27" s="2">
        <f>IF(AND($G27&lt;&gt;"",$I27&lt;&gt;""),$G27*$I27,"")</f>
        <v/>
      </c>
    </row>
    <row r="28">
      <c r="B28" s="2">
        <f>IFERROR(TEXT($A28,"YYYY-MM"),"")</f>
        <v/>
      </c>
      <c r="D28" s="2">
        <f>IFERROR(VLOOKUP($C28,INVENTORY!$A:$B,2,FALSE),"")</f>
        <v/>
      </c>
      <c r="H28" s="2">
        <f>IFERROR(VLOOKUP($E28,MATERIALS!$A:$C,3,FALSE),"")</f>
        <v/>
      </c>
      <c r="I28" s="2">
        <f>IFERROR(VLOOKUP($E28,MATERIALS!$A:$F,6,FALSE),"")</f>
        <v/>
      </c>
      <c r="J28" s="2">
        <f>IF(AND($G28&lt;&gt;"",$I28&lt;&gt;""),$G28*$I28,"")</f>
        <v/>
      </c>
    </row>
    <row r="29">
      <c r="B29" s="2">
        <f>IFERROR(TEXT($A29,"YYYY-MM"),"")</f>
        <v/>
      </c>
      <c r="D29" s="2">
        <f>IFERROR(VLOOKUP($C29,INVENTORY!$A:$B,2,FALSE),"")</f>
        <v/>
      </c>
      <c r="H29" s="2">
        <f>IFERROR(VLOOKUP($E29,MATERIALS!$A:$C,3,FALSE),"")</f>
        <v/>
      </c>
      <c r="I29" s="2">
        <f>IFERROR(VLOOKUP($E29,MATERIALS!$A:$F,6,FALSE),"")</f>
        <v/>
      </c>
      <c r="J29" s="2">
        <f>IF(AND($G29&lt;&gt;"",$I29&lt;&gt;""),$G29*$I29,"")</f>
        <v/>
      </c>
    </row>
    <row r="30">
      <c r="B30" s="2">
        <f>IFERROR(TEXT($A30,"YYYY-MM"),"")</f>
        <v/>
      </c>
      <c r="D30" s="2">
        <f>IFERROR(VLOOKUP($C30,INVENTORY!$A:$B,2,FALSE),"")</f>
        <v/>
      </c>
      <c r="H30" s="2">
        <f>IFERROR(VLOOKUP($E30,MATERIALS!$A:$C,3,FALSE),"")</f>
        <v/>
      </c>
      <c r="I30" s="2">
        <f>IFERROR(VLOOKUP($E30,MATERIALS!$A:$F,6,FALSE),"")</f>
        <v/>
      </c>
      <c r="J30" s="2">
        <f>IF(AND($G30&lt;&gt;"",$I30&lt;&gt;""),$G30*$I30,"")</f>
        <v/>
      </c>
    </row>
    <row r="31">
      <c r="B31" s="2">
        <f>IFERROR(TEXT($A31,"YYYY-MM"),"")</f>
        <v/>
      </c>
      <c r="D31" s="2">
        <f>IFERROR(VLOOKUP($C31,INVENTORY!$A:$B,2,FALSE),"")</f>
        <v/>
      </c>
      <c r="H31" s="2">
        <f>IFERROR(VLOOKUP($E31,MATERIALS!$A:$C,3,FALSE),"")</f>
        <v/>
      </c>
      <c r="I31" s="2">
        <f>IFERROR(VLOOKUP($E31,MATERIALS!$A:$F,6,FALSE),"")</f>
        <v/>
      </c>
      <c r="J31" s="2">
        <f>IF(AND($G31&lt;&gt;"",$I31&lt;&gt;""),$G31*$I31,"")</f>
        <v/>
      </c>
    </row>
    <row r="32">
      <c r="B32" s="2">
        <f>IFERROR(TEXT($A32,"YYYY-MM"),"")</f>
        <v/>
      </c>
      <c r="D32" s="2">
        <f>IFERROR(VLOOKUP($C32,INVENTORY!$A:$B,2,FALSE),"")</f>
        <v/>
      </c>
      <c r="H32" s="2">
        <f>IFERROR(VLOOKUP($E32,MATERIALS!$A:$C,3,FALSE),"")</f>
        <v/>
      </c>
      <c r="I32" s="2">
        <f>IFERROR(VLOOKUP($E32,MATERIALS!$A:$F,6,FALSE),"")</f>
        <v/>
      </c>
      <c r="J32" s="2">
        <f>IF(AND($G32&lt;&gt;"",$I32&lt;&gt;""),$G32*$I32,"")</f>
        <v/>
      </c>
    </row>
    <row r="33">
      <c r="B33" s="2">
        <f>IFERROR(TEXT($A33,"YYYY-MM"),"")</f>
        <v/>
      </c>
      <c r="D33" s="2">
        <f>IFERROR(VLOOKUP($C33,INVENTORY!$A:$B,2,FALSE),"")</f>
        <v/>
      </c>
      <c r="H33" s="2">
        <f>IFERROR(VLOOKUP($E33,MATERIALS!$A:$C,3,FALSE),"")</f>
        <v/>
      </c>
      <c r="I33" s="2">
        <f>IFERROR(VLOOKUP($E33,MATERIALS!$A:$F,6,FALSE),"")</f>
        <v/>
      </c>
      <c r="J33" s="2">
        <f>IF(AND($G33&lt;&gt;"",$I33&lt;&gt;""),$G33*$I33,"")</f>
        <v/>
      </c>
    </row>
    <row r="34">
      <c r="B34" s="2">
        <f>IFERROR(TEXT($A34,"YYYY-MM"),"")</f>
        <v/>
      </c>
      <c r="D34" s="2">
        <f>IFERROR(VLOOKUP($C34,INVENTORY!$A:$B,2,FALSE),"")</f>
        <v/>
      </c>
      <c r="H34" s="2">
        <f>IFERROR(VLOOKUP($E34,MATERIALS!$A:$C,3,FALSE),"")</f>
        <v/>
      </c>
      <c r="I34" s="2">
        <f>IFERROR(VLOOKUP($E34,MATERIALS!$A:$F,6,FALSE),"")</f>
        <v/>
      </c>
      <c r="J34" s="2">
        <f>IF(AND($G34&lt;&gt;"",$I34&lt;&gt;""),$G34*$I34,"")</f>
        <v/>
      </c>
    </row>
    <row r="35">
      <c r="B35" s="2">
        <f>IFERROR(TEXT($A35,"YYYY-MM"),"")</f>
        <v/>
      </c>
      <c r="D35" s="2">
        <f>IFERROR(VLOOKUP($C35,INVENTORY!$A:$B,2,FALSE),"")</f>
        <v/>
      </c>
      <c r="H35" s="2">
        <f>IFERROR(VLOOKUP($E35,MATERIALS!$A:$C,3,FALSE),"")</f>
        <v/>
      </c>
      <c r="I35" s="2">
        <f>IFERROR(VLOOKUP($E35,MATERIALS!$A:$F,6,FALSE),"")</f>
        <v/>
      </c>
      <c r="J35" s="2">
        <f>IF(AND($G35&lt;&gt;"",$I35&lt;&gt;""),$G35*$I35,"")</f>
        <v/>
      </c>
    </row>
    <row r="36">
      <c r="B36" s="2">
        <f>IFERROR(TEXT($A36,"YYYY-MM"),"")</f>
        <v/>
      </c>
      <c r="D36" s="2">
        <f>IFERROR(VLOOKUP($C36,INVENTORY!$A:$B,2,FALSE),"")</f>
        <v/>
      </c>
      <c r="H36" s="2">
        <f>IFERROR(VLOOKUP($E36,MATERIALS!$A:$C,3,FALSE),"")</f>
        <v/>
      </c>
      <c r="I36" s="2">
        <f>IFERROR(VLOOKUP($E36,MATERIALS!$A:$F,6,FALSE),"")</f>
        <v/>
      </c>
      <c r="J36" s="2">
        <f>IF(AND($G36&lt;&gt;"",$I36&lt;&gt;""),$G36*$I36,"")</f>
        <v/>
      </c>
    </row>
    <row r="37">
      <c r="B37" s="2">
        <f>IFERROR(TEXT($A37,"YYYY-MM"),"")</f>
        <v/>
      </c>
      <c r="D37" s="2">
        <f>IFERROR(VLOOKUP($C37,INVENTORY!$A:$B,2,FALSE),"")</f>
        <v/>
      </c>
      <c r="H37" s="2">
        <f>IFERROR(VLOOKUP($E37,MATERIALS!$A:$C,3,FALSE),"")</f>
        <v/>
      </c>
      <c r="I37" s="2">
        <f>IFERROR(VLOOKUP($E37,MATERIALS!$A:$F,6,FALSE),"")</f>
        <v/>
      </c>
      <c r="J37" s="2">
        <f>IF(AND($G37&lt;&gt;"",$I37&lt;&gt;""),$G37*$I37,"")</f>
        <v/>
      </c>
    </row>
    <row r="38">
      <c r="B38" s="2">
        <f>IFERROR(TEXT($A38,"YYYY-MM"),"")</f>
        <v/>
      </c>
      <c r="D38" s="2">
        <f>IFERROR(VLOOKUP($C38,INVENTORY!$A:$B,2,FALSE),"")</f>
        <v/>
      </c>
      <c r="H38" s="2">
        <f>IFERROR(VLOOKUP($E38,MATERIALS!$A:$C,3,FALSE),"")</f>
        <v/>
      </c>
      <c r="I38" s="2">
        <f>IFERROR(VLOOKUP($E38,MATERIALS!$A:$F,6,FALSE),"")</f>
        <v/>
      </c>
      <c r="J38" s="2">
        <f>IF(AND($G38&lt;&gt;"",$I38&lt;&gt;""),$G38*$I38,"")</f>
        <v/>
      </c>
    </row>
    <row r="39">
      <c r="B39" s="2">
        <f>IFERROR(TEXT($A39,"YYYY-MM"),"")</f>
        <v/>
      </c>
      <c r="D39" s="2">
        <f>IFERROR(VLOOKUP($C39,INVENTORY!$A:$B,2,FALSE),"")</f>
        <v/>
      </c>
      <c r="H39" s="2">
        <f>IFERROR(VLOOKUP($E39,MATERIALS!$A:$C,3,FALSE),"")</f>
        <v/>
      </c>
      <c r="I39" s="2">
        <f>IFERROR(VLOOKUP($E39,MATERIALS!$A:$F,6,FALSE),"")</f>
        <v/>
      </c>
      <c r="J39" s="2">
        <f>IF(AND($G39&lt;&gt;"",$I39&lt;&gt;""),$G39*$I39,"")</f>
        <v/>
      </c>
    </row>
    <row r="40">
      <c r="B40" s="2">
        <f>IFERROR(TEXT($A40,"YYYY-MM"),"")</f>
        <v/>
      </c>
      <c r="D40" s="2">
        <f>IFERROR(VLOOKUP($C40,INVENTORY!$A:$B,2,FALSE),"")</f>
        <v/>
      </c>
      <c r="H40" s="2">
        <f>IFERROR(VLOOKUP($E40,MATERIALS!$A:$C,3,FALSE),"")</f>
        <v/>
      </c>
      <c r="I40" s="2">
        <f>IFERROR(VLOOKUP($E40,MATERIALS!$A:$F,6,FALSE),"")</f>
        <v/>
      </c>
      <c r="J40" s="2">
        <f>IF(AND($G40&lt;&gt;"",$I40&lt;&gt;""),$G40*$I40,"")</f>
        <v/>
      </c>
    </row>
    <row r="41">
      <c r="B41" s="2">
        <f>IFERROR(TEXT($A41,"YYYY-MM"),"")</f>
        <v/>
      </c>
      <c r="D41" s="2">
        <f>IFERROR(VLOOKUP($C41,INVENTORY!$A:$B,2,FALSE),"")</f>
        <v/>
      </c>
      <c r="H41" s="2">
        <f>IFERROR(VLOOKUP($E41,MATERIALS!$A:$C,3,FALSE),"")</f>
        <v/>
      </c>
      <c r="I41" s="2">
        <f>IFERROR(VLOOKUP($E41,MATERIALS!$A:$F,6,FALSE),"")</f>
        <v/>
      </c>
      <c r="J41" s="2">
        <f>IF(AND($G41&lt;&gt;"",$I41&lt;&gt;""),$G41*$I41,"")</f>
        <v/>
      </c>
    </row>
    <row r="42">
      <c r="B42" s="2">
        <f>IFERROR(TEXT($A42,"YYYY-MM"),"")</f>
        <v/>
      </c>
      <c r="D42" s="2">
        <f>IFERROR(VLOOKUP($C42,INVENTORY!$A:$B,2,FALSE),"")</f>
        <v/>
      </c>
      <c r="H42" s="2">
        <f>IFERROR(VLOOKUP($E42,MATERIALS!$A:$C,3,FALSE),"")</f>
        <v/>
      </c>
      <c r="I42" s="2">
        <f>IFERROR(VLOOKUP($E42,MATERIALS!$A:$F,6,FALSE),"")</f>
        <v/>
      </c>
      <c r="J42" s="2">
        <f>IF(AND($G42&lt;&gt;"",$I42&lt;&gt;""),$G42*$I42,"")</f>
        <v/>
      </c>
    </row>
    <row r="43">
      <c r="B43" s="2">
        <f>IFERROR(TEXT($A43,"YYYY-MM"),"")</f>
        <v/>
      </c>
      <c r="D43" s="2">
        <f>IFERROR(VLOOKUP($C43,INVENTORY!$A:$B,2,FALSE),"")</f>
        <v/>
      </c>
      <c r="H43" s="2">
        <f>IFERROR(VLOOKUP($E43,MATERIALS!$A:$C,3,FALSE),"")</f>
        <v/>
      </c>
      <c r="I43" s="2">
        <f>IFERROR(VLOOKUP($E43,MATERIALS!$A:$F,6,FALSE),"")</f>
        <v/>
      </c>
      <c r="J43" s="2">
        <f>IF(AND($G43&lt;&gt;"",$I43&lt;&gt;""),$G43*$I43,"")</f>
        <v/>
      </c>
    </row>
    <row r="44">
      <c r="B44" s="2">
        <f>IFERROR(TEXT($A44,"YYYY-MM"),"")</f>
        <v/>
      </c>
      <c r="D44" s="2">
        <f>IFERROR(VLOOKUP($C44,INVENTORY!$A:$B,2,FALSE),"")</f>
        <v/>
      </c>
      <c r="H44" s="2">
        <f>IFERROR(VLOOKUP($E44,MATERIALS!$A:$C,3,FALSE),"")</f>
        <v/>
      </c>
      <c r="I44" s="2">
        <f>IFERROR(VLOOKUP($E44,MATERIALS!$A:$F,6,FALSE),"")</f>
        <v/>
      </c>
      <c r="J44" s="2">
        <f>IF(AND($G44&lt;&gt;"",$I44&lt;&gt;""),$G44*$I44,"")</f>
        <v/>
      </c>
    </row>
    <row r="45">
      <c r="B45" s="2">
        <f>IFERROR(TEXT($A45,"YYYY-MM"),"")</f>
        <v/>
      </c>
      <c r="D45" s="2">
        <f>IFERROR(VLOOKUP($C45,INVENTORY!$A:$B,2,FALSE),"")</f>
        <v/>
      </c>
      <c r="H45" s="2">
        <f>IFERROR(VLOOKUP($E45,MATERIALS!$A:$C,3,FALSE),"")</f>
        <v/>
      </c>
      <c r="I45" s="2">
        <f>IFERROR(VLOOKUP($E45,MATERIALS!$A:$F,6,FALSE),"")</f>
        <v/>
      </c>
      <c r="J45" s="2">
        <f>IF(AND($G45&lt;&gt;"",$I45&lt;&gt;""),$G45*$I45,"")</f>
        <v/>
      </c>
    </row>
    <row r="46">
      <c r="B46" s="2">
        <f>IFERROR(TEXT($A46,"YYYY-MM"),"")</f>
        <v/>
      </c>
      <c r="D46" s="2">
        <f>IFERROR(VLOOKUP($C46,INVENTORY!$A:$B,2,FALSE),"")</f>
        <v/>
      </c>
      <c r="H46" s="2">
        <f>IFERROR(VLOOKUP($E46,MATERIALS!$A:$C,3,FALSE),"")</f>
        <v/>
      </c>
      <c r="I46" s="2">
        <f>IFERROR(VLOOKUP($E46,MATERIALS!$A:$F,6,FALSE),"")</f>
        <v/>
      </c>
      <c r="J46" s="2">
        <f>IF(AND($G46&lt;&gt;"",$I46&lt;&gt;""),$G46*$I46,"")</f>
        <v/>
      </c>
    </row>
    <row r="47">
      <c r="B47" s="2">
        <f>IFERROR(TEXT($A47,"YYYY-MM"),"")</f>
        <v/>
      </c>
      <c r="D47" s="2">
        <f>IFERROR(VLOOKUP($C47,INVENTORY!$A:$B,2,FALSE),"")</f>
        <v/>
      </c>
      <c r="H47" s="2">
        <f>IFERROR(VLOOKUP($E47,MATERIALS!$A:$C,3,FALSE),"")</f>
        <v/>
      </c>
      <c r="I47" s="2">
        <f>IFERROR(VLOOKUP($E47,MATERIALS!$A:$F,6,FALSE),"")</f>
        <v/>
      </c>
      <c r="J47" s="2">
        <f>IF(AND($G47&lt;&gt;"",$I47&lt;&gt;""),$G47*$I47,"")</f>
        <v/>
      </c>
    </row>
    <row r="48">
      <c r="B48" s="2">
        <f>IFERROR(TEXT($A48,"YYYY-MM"),"")</f>
        <v/>
      </c>
      <c r="D48" s="2">
        <f>IFERROR(VLOOKUP($C48,INVENTORY!$A:$B,2,FALSE),"")</f>
        <v/>
      </c>
      <c r="H48" s="2">
        <f>IFERROR(VLOOKUP($E48,MATERIALS!$A:$C,3,FALSE),"")</f>
        <v/>
      </c>
      <c r="I48" s="2">
        <f>IFERROR(VLOOKUP($E48,MATERIALS!$A:$F,6,FALSE),"")</f>
        <v/>
      </c>
      <c r="J48" s="2">
        <f>IF(AND($G48&lt;&gt;"",$I48&lt;&gt;""),$G48*$I48,"")</f>
        <v/>
      </c>
    </row>
    <row r="49">
      <c r="B49" s="2">
        <f>IFERROR(TEXT($A49,"YYYY-MM"),"")</f>
        <v/>
      </c>
      <c r="D49" s="2">
        <f>IFERROR(VLOOKUP($C49,INVENTORY!$A:$B,2,FALSE),"")</f>
        <v/>
      </c>
      <c r="H49" s="2">
        <f>IFERROR(VLOOKUP($E49,MATERIALS!$A:$C,3,FALSE),"")</f>
        <v/>
      </c>
      <c r="I49" s="2">
        <f>IFERROR(VLOOKUP($E49,MATERIALS!$A:$F,6,FALSE),"")</f>
        <v/>
      </c>
      <c r="J49" s="2">
        <f>IF(AND($G49&lt;&gt;"",$I49&lt;&gt;""),$G49*$I49,"")</f>
        <v/>
      </c>
    </row>
    <row r="50">
      <c r="B50" s="2">
        <f>IFERROR(TEXT($A50,"YYYY-MM"),"")</f>
        <v/>
      </c>
      <c r="D50" s="2">
        <f>IFERROR(VLOOKUP($C50,INVENTORY!$A:$B,2,FALSE),"")</f>
        <v/>
      </c>
      <c r="H50" s="2">
        <f>IFERROR(VLOOKUP($E50,MATERIALS!$A:$C,3,FALSE),"")</f>
        <v/>
      </c>
      <c r="I50" s="2">
        <f>IFERROR(VLOOKUP($E50,MATERIALS!$A:$F,6,FALSE),"")</f>
        <v/>
      </c>
      <c r="J50" s="2">
        <f>IF(AND($G50&lt;&gt;"",$I50&lt;&gt;""),$G50*$I50,"")</f>
        <v/>
      </c>
    </row>
    <row r="51">
      <c r="B51" s="2">
        <f>IFERROR(TEXT($A51,"YYYY-MM"),"")</f>
        <v/>
      </c>
      <c r="D51" s="2">
        <f>IFERROR(VLOOKUP($C51,INVENTORY!$A:$B,2,FALSE),"")</f>
        <v/>
      </c>
      <c r="H51" s="2">
        <f>IFERROR(VLOOKUP($E51,MATERIALS!$A:$C,3,FALSE),"")</f>
        <v/>
      </c>
      <c r="I51" s="2">
        <f>IFERROR(VLOOKUP($E51,MATERIALS!$A:$F,6,FALSE),"")</f>
        <v/>
      </c>
      <c r="J51" s="2">
        <f>IF(AND($G51&lt;&gt;"",$I51&lt;&gt;""),$G51*$I51,"")</f>
        <v/>
      </c>
    </row>
    <row r="52">
      <c r="B52" s="2">
        <f>IFERROR(TEXT($A52,"YYYY-MM"),"")</f>
        <v/>
      </c>
      <c r="D52" s="2">
        <f>IFERROR(VLOOKUP($C52,INVENTORY!$A:$B,2,FALSE),"")</f>
        <v/>
      </c>
      <c r="H52" s="2">
        <f>IFERROR(VLOOKUP($E52,MATERIALS!$A:$C,3,FALSE),"")</f>
        <v/>
      </c>
      <c r="I52" s="2">
        <f>IFERROR(VLOOKUP($E52,MATERIALS!$A:$F,6,FALSE),"")</f>
        <v/>
      </c>
      <c r="J52" s="2">
        <f>IF(AND($G52&lt;&gt;"",$I52&lt;&gt;""),$G52*$I52,"")</f>
        <v/>
      </c>
    </row>
    <row r="53">
      <c r="B53" s="2">
        <f>IFERROR(TEXT($A53,"YYYY-MM"),"")</f>
        <v/>
      </c>
      <c r="D53" s="2">
        <f>IFERROR(VLOOKUP($C53,INVENTORY!$A:$B,2,FALSE),"")</f>
        <v/>
      </c>
      <c r="H53" s="2">
        <f>IFERROR(VLOOKUP($E53,MATERIALS!$A:$C,3,FALSE),"")</f>
        <v/>
      </c>
      <c r="I53" s="2">
        <f>IFERROR(VLOOKUP($E53,MATERIALS!$A:$F,6,FALSE),"")</f>
        <v/>
      </c>
      <c r="J53" s="2">
        <f>IF(AND($G53&lt;&gt;"",$I53&lt;&gt;""),$G53*$I53,"")</f>
        <v/>
      </c>
    </row>
    <row r="54">
      <c r="B54" s="2">
        <f>IFERROR(TEXT($A54,"YYYY-MM"),"")</f>
        <v/>
      </c>
      <c r="D54" s="2">
        <f>IFERROR(VLOOKUP($C54,INVENTORY!$A:$B,2,FALSE),"")</f>
        <v/>
      </c>
      <c r="H54" s="2">
        <f>IFERROR(VLOOKUP($E54,MATERIALS!$A:$C,3,FALSE),"")</f>
        <v/>
      </c>
      <c r="I54" s="2">
        <f>IFERROR(VLOOKUP($E54,MATERIALS!$A:$F,6,FALSE),"")</f>
        <v/>
      </c>
      <c r="J54" s="2">
        <f>IF(AND($G54&lt;&gt;"",$I54&lt;&gt;""),$G54*$I54,"")</f>
        <v/>
      </c>
    </row>
    <row r="55">
      <c r="B55" s="2">
        <f>IFERROR(TEXT($A55,"YYYY-MM"),"")</f>
        <v/>
      </c>
      <c r="D55" s="2">
        <f>IFERROR(VLOOKUP($C55,INVENTORY!$A:$B,2,FALSE),"")</f>
        <v/>
      </c>
      <c r="H55" s="2">
        <f>IFERROR(VLOOKUP($E55,MATERIALS!$A:$C,3,FALSE),"")</f>
        <v/>
      </c>
      <c r="I55" s="2">
        <f>IFERROR(VLOOKUP($E55,MATERIALS!$A:$F,6,FALSE),"")</f>
        <v/>
      </c>
      <c r="J55" s="2">
        <f>IF(AND($G55&lt;&gt;"",$I55&lt;&gt;""),$G55*$I55,"")</f>
        <v/>
      </c>
    </row>
    <row r="56">
      <c r="B56" s="2">
        <f>IFERROR(TEXT($A56,"YYYY-MM"),"")</f>
        <v/>
      </c>
      <c r="D56" s="2">
        <f>IFERROR(VLOOKUP($C56,INVENTORY!$A:$B,2,FALSE),"")</f>
        <v/>
      </c>
      <c r="H56" s="2">
        <f>IFERROR(VLOOKUP($E56,MATERIALS!$A:$C,3,FALSE),"")</f>
        <v/>
      </c>
      <c r="I56" s="2">
        <f>IFERROR(VLOOKUP($E56,MATERIALS!$A:$F,6,FALSE),"")</f>
        <v/>
      </c>
      <c r="J56" s="2">
        <f>IF(AND($G56&lt;&gt;"",$I56&lt;&gt;""),$G56*$I56,"")</f>
        <v/>
      </c>
    </row>
    <row r="57">
      <c r="B57" s="2">
        <f>IFERROR(TEXT($A57,"YYYY-MM"),"")</f>
        <v/>
      </c>
      <c r="D57" s="2">
        <f>IFERROR(VLOOKUP($C57,INVENTORY!$A:$B,2,FALSE),"")</f>
        <v/>
      </c>
      <c r="H57" s="2">
        <f>IFERROR(VLOOKUP($E57,MATERIALS!$A:$C,3,FALSE),"")</f>
        <v/>
      </c>
      <c r="I57" s="2">
        <f>IFERROR(VLOOKUP($E57,MATERIALS!$A:$F,6,FALSE),"")</f>
        <v/>
      </c>
      <c r="J57" s="2">
        <f>IF(AND($G57&lt;&gt;"",$I57&lt;&gt;""),$G57*$I57,"")</f>
        <v/>
      </c>
    </row>
    <row r="58">
      <c r="B58" s="2">
        <f>IFERROR(TEXT($A58,"YYYY-MM"),"")</f>
        <v/>
      </c>
      <c r="D58" s="2">
        <f>IFERROR(VLOOKUP($C58,INVENTORY!$A:$B,2,FALSE),"")</f>
        <v/>
      </c>
      <c r="H58" s="2">
        <f>IFERROR(VLOOKUP($E58,MATERIALS!$A:$C,3,FALSE),"")</f>
        <v/>
      </c>
      <c r="I58" s="2">
        <f>IFERROR(VLOOKUP($E58,MATERIALS!$A:$F,6,FALSE),"")</f>
        <v/>
      </c>
      <c r="J58" s="2">
        <f>IF(AND($G58&lt;&gt;"",$I58&lt;&gt;""),$G58*$I58,"")</f>
        <v/>
      </c>
    </row>
    <row r="59">
      <c r="B59" s="2">
        <f>IFERROR(TEXT($A59,"YYYY-MM"),"")</f>
        <v/>
      </c>
      <c r="D59" s="2">
        <f>IFERROR(VLOOKUP($C59,INVENTORY!$A:$B,2,FALSE),"")</f>
        <v/>
      </c>
      <c r="H59" s="2">
        <f>IFERROR(VLOOKUP($E59,MATERIALS!$A:$C,3,FALSE),"")</f>
        <v/>
      </c>
      <c r="I59" s="2">
        <f>IFERROR(VLOOKUP($E59,MATERIALS!$A:$F,6,FALSE),"")</f>
        <v/>
      </c>
      <c r="J59" s="2">
        <f>IF(AND($G59&lt;&gt;"",$I59&lt;&gt;""),$G59*$I59,"")</f>
        <v/>
      </c>
    </row>
    <row r="60">
      <c r="B60" s="2">
        <f>IFERROR(TEXT($A60,"YYYY-MM"),"")</f>
        <v/>
      </c>
      <c r="D60" s="2">
        <f>IFERROR(VLOOKUP($C60,INVENTORY!$A:$B,2,FALSE),"")</f>
        <v/>
      </c>
      <c r="H60" s="2">
        <f>IFERROR(VLOOKUP($E60,MATERIALS!$A:$C,3,FALSE),"")</f>
        <v/>
      </c>
      <c r="I60" s="2">
        <f>IFERROR(VLOOKUP($E60,MATERIALS!$A:$F,6,FALSE),"")</f>
        <v/>
      </c>
      <c r="J60" s="2">
        <f>IF(AND($G60&lt;&gt;"",$I60&lt;&gt;""),$G60*$I60,"")</f>
        <v/>
      </c>
    </row>
    <row r="61">
      <c r="B61" s="2">
        <f>IFERROR(TEXT($A61,"YYYY-MM"),"")</f>
        <v/>
      </c>
      <c r="D61" s="2">
        <f>IFERROR(VLOOKUP($C61,INVENTORY!$A:$B,2,FALSE),"")</f>
        <v/>
      </c>
      <c r="H61" s="2">
        <f>IFERROR(VLOOKUP($E61,MATERIALS!$A:$C,3,FALSE),"")</f>
        <v/>
      </c>
      <c r="I61" s="2">
        <f>IFERROR(VLOOKUP($E61,MATERIALS!$A:$F,6,FALSE),"")</f>
        <v/>
      </c>
      <c r="J61" s="2">
        <f>IF(AND($G61&lt;&gt;"",$I61&lt;&gt;""),$G61*$I61,"")</f>
        <v/>
      </c>
    </row>
    <row r="62">
      <c r="B62" s="2">
        <f>IFERROR(TEXT($A62,"YYYY-MM"),"")</f>
        <v/>
      </c>
      <c r="D62" s="2">
        <f>IFERROR(VLOOKUP($C62,INVENTORY!$A:$B,2,FALSE),"")</f>
        <v/>
      </c>
      <c r="H62" s="2">
        <f>IFERROR(VLOOKUP($E62,MATERIALS!$A:$C,3,FALSE),"")</f>
        <v/>
      </c>
      <c r="I62" s="2">
        <f>IFERROR(VLOOKUP($E62,MATERIALS!$A:$F,6,FALSE),"")</f>
        <v/>
      </c>
      <c r="J62" s="2">
        <f>IF(AND($G62&lt;&gt;"",$I62&lt;&gt;""),$G62*$I62,"")</f>
        <v/>
      </c>
    </row>
    <row r="63">
      <c r="B63" s="2">
        <f>IFERROR(TEXT($A63,"YYYY-MM"),"")</f>
        <v/>
      </c>
      <c r="D63" s="2">
        <f>IFERROR(VLOOKUP($C63,INVENTORY!$A:$B,2,FALSE),"")</f>
        <v/>
      </c>
      <c r="H63" s="2">
        <f>IFERROR(VLOOKUP($E63,MATERIALS!$A:$C,3,FALSE),"")</f>
        <v/>
      </c>
      <c r="I63" s="2">
        <f>IFERROR(VLOOKUP($E63,MATERIALS!$A:$F,6,FALSE),"")</f>
        <v/>
      </c>
      <c r="J63" s="2">
        <f>IF(AND($G63&lt;&gt;"",$I63&lt;&gt;""),$G63*$I63,"")</f>
        <v/>
      </c>
    </row>
    <row r="64">
      <c r="B64" s="2">
        <f>IFERROR(TEXT($A64,"YYYY-MM"),"")</f>
        <v/>
      </c>
      <c r="D64" s="2">
        <f>IFERROR(VLOOKUP($C64,INVENTORY!$A:$B,2,FALSE),"")</f>
        <v/>
      </c>
      <c r="H64" s="2">
        <f>IFERROR(VLOOKUP($E64,MATERIALS!$A:$C,3,FALSE),"")</f>
        <v/>
      </c>
      <c r="I64" s="2">
        <f>IFERROR(VLOOKUP($E64,MATERIALS!$A:$F,6,FALSE),"")</f>
        <v/>
      </c>
      <c r="J64" s="2">
        <f>IF(AND($G64&lt;&gt;"",$I64&lt;&gt;""),$G64*$I64,"")</f>
        <v/>
      </c>
    </row>
    <row r="65">
      <c r="B65" s="2">
        <f>IFERROR(TEXT($A65,"YYYY-MM"),"")</f>
        <v/>
      </c>
      <c r="D65" s="2">
        <f>IFERROR(VLOOKUP($C65,INVENTORY!$A:$B,2,FALSE),"")</f>
        <v/>
      </c>
      <c r="H65" s="2">
        <f>IFERROR(VLOOKUP($E65,MATERIALS!$A:$C,3,FALSE),"")</f>
        <v/>
      </c>
      <c r="I65" s="2">
        <f>IFERROR(VLOOKUP($E65,MATERIALS!$A:$F,6,FALSE),"")</f>
        <v/>
      </c>
      <c r="J65" s="2">
        <f>IF(AND($G65&lt;&gt;"",$I65&lt;&gt;""),$G65*$I65,"")</f>
        <v/>
      </c>
    </row>
    <row r="66">
      <c r="B66" s="2">
        <f>IFERROR(TEXT($A66,"YYYY-MM"),"")</f>
        <v/>
      </c>
      <c r="D66" s="2">
        <f>IFERROR(VLOOKUP($C66,INVENTORY!$A:$B,2,FALSE),"")</f>
        <v/>
      </c>
      <c r="H66" s="2">
        <f>IFERROR(VLOOKUP($E66,MATERIALS!$A:$C,3,FALSE),"")</f>
        <v/>
      </c>
      <c r="I66" s="2">
        <f>IFERROR(VLOOKUP($E66,MATERIALS!$A:$F,6,FALSE),"")</f>
        <v/>
      </c>
      <c r="J66" s="2">
        <f>IF(AND($G66&lt;&gt;"",$I66&lt;&gt;""),$G66*$I66,"")</f>
        <v/>
      </c>
    </row>
    <row r="67">
      <c r="B67" s="2">
        <f>IFERROR(TEXT($A67,"YYYY-MM"),"")</f>
        <v/>
      </c>
      <c r="D67" s="2">
        <f>IFERROR(VLOOKUP($C67,INVENTORY!$A:$B,2,FALSE),"")</f>
        <v/>
      </c>
      <c r="H67" s="2">
        <f>IFERROR(VLOOKUP($E67,MATERIALS!$A:$C,3,FALSE),"")</f>
        <v/>
      </c>
      <c r="I67" s="2">
        <f>IFERROR(VLOOKUP($E67,MATERIALS!$A:$F,6,FALSE),"")</f>
        <v/>
      </c>
      <c r="J67" s="2">
        <f>IF(AND($G67&lt;&gt;"",$I67&lt;&gt;""),$G67*$I67,"")</f>
        <v/>
      </c>
    </row>
    <row r="68">
      <c r="B68" s="2">
        <f>IFERROR(TEXT($A68,"YYYY-MM"),"")</f>
        <v/>
      </c>
      <c r="D68" s="2">
        <f>IFERROR(VLOOKUP($C68,INVENTORY!$A:$B,2,FALSE),"")</f>
        <v/>
      </c>
      <c r="H68" s="2">
        <f>IFERROR(VLOOKUP($E68,MATERIALS!$A:$C,3,FALSE),"")</f>
        <v/>
      </c>
      <c r="I68" s="2">
        <f>IFERROR(VLOOKUP($E68,MATERIALS!$A:$F,6,FALSE),"")</f>
        <v/>
      </c>
      <c r="J68" s="2">
        <f>IF(AND($G68&lt;&gt;"",$I68&lt;&gt;""),$G68*$I68,"")</f>
        <v/>
      </c>
    </row>
    <row r="69">
      <c r="B69" s="2">
        <f>IFERROR(TEXT($A69,"YYYY-MM"),"")</f>
        <v/>
      </c>
      <c r="D69" s="2">
        <f>IFERROR(VLOOKUP($C69,INVENTORY!$A:$B,2,FALSE),"")</f>
        <v/>
      </c>
      <c r="H69" s="2">
        <f>IFERROR(VLOOKUP($E69,MATERIALS!$A:$C,3,FALSE),"")</f>
        <v/>
      </c>
      <c r="I69" s="2">
        <f>IFERROR(VLOOKUP($E69,MATERIALS!$A:$F,6,FALSE),"")</f>
        <v/>
      </c>
      <c r="J69" s="2">
        <f>IF(AND($G69&lt;&gt;"",$I69&lt;&gt;""),$G69*$I69,"")</f>
        <v/>
      </c>
    </row>
    <row r="70">
      <c r="B70" s="2">
        <f>IFERROR(TEXT($A70,"YYYY-MM"),"")</f>
        <v/>
      </c>
      <c r="D70" s="2">
        <f>IFERROR(VLOOKUP($C70,INVENTORY!$A:$B,2,FALSE),"")</f>
        <v/>
      </c>
      <c r="H70" s="2">
        <f>IFERROR(VLOOKUP($E70,MATERIALS!$A:$C,3,FALSE),"")</f>
        <v/>
      </c>
      <c r="I70" s="2">
        <f>IFERROR(VLOOKUP($E70,MATERIALS!$A:$F,6,FALSE),"")</f>
        <v/>
      </c>
      <c r="J70" s="2">
        <f>IF(AND($G70&lt;&gt;"",$I70&lt;&gt;""),$G70*$I70,"")</f>
        <v/>
      </c>
    </row>
    <row r="71">
      <c r="B71" s="2">
        <f>IFERROR(TEXT($A71,"YYYY-MM"),"")</f>
        <v/>
      </c>
      <c r="D71" s="2">
        <f>IFERROR(VLOOKUP($C71,INVENTORY!$A:$B,2,FALSE),"")</f>
        <v/>
      </c>
      <c r="H71" s="2">
        <f>IFERROR(VLOOKUP($E71,MATERIALS!$A:$C,3,FALSE),"")</f>
        <v/>
      </c>
      <c r="I71" s="2">
        <f>IFERROR(VLOOKUP($E71,MATERIALS!$A:$F,6,FALSE),"")</f>
        <v/>
      </c>
      <c r="J71" s="2">
        <f>IF(AND($G71&lt;&gt;"",$I71&lt;&gt;""),$G71*$I71,"")</f>
        <v/>
      </c>
    </row>
    <row r="72">
      <c r="B72" s="2">
        <f>IFERROR(TEXT($A72,"YYYY-MM"),"")</f>
        <v/>
      </c>
      <c r="D72" s="2">
        <f>IFERROR(VLOOKUP($C72,INVENTORY!$A:$B,2,FALSE),"")</f>
        <v/>
      </c>
      <c r="H72" s="2">
        <f>IFERROR(VLOOKUP($E72,MATERIALS!$A:$C,3,FALSE),"")</f>
        <v/>
      </c>
      <c r="I72" s="2">
        <f>IFERROR(VLOOKUP($E72,MATERIALS!$A:$F,6,FALSE),"")</f>
        <v/>
      </c>
      <c r="J72" s="2">
        <f>IF(AND($G72&lt;&gt;"",$I72&lt;&gt;""),$G72*$I72,"")</f>
        <v/>
      </c>
    </row>
    <row r="73">
      <c r="B73" s="2">
        <f>IFERROR(TEXT($A73,"YYYY-MM"),"")</f>
        <v/>
      </c>
      <c r="D73" s="2">
        <f>IFERROR(VLOOKUP($C73,INVENTORY!$A:$B,2,FALSE),"")</f>
        <v/>
      </c>
      <c r="H73" s="2">
        <f>IFERROR(VLOOKUP($E73,MATERIALS!$A:$C,3,FALSE),"")</f>
        <v/>
      </c>
      <c r="I73" s="2">
        <f>IFERROR(VLOOKUP($E73,MATERIALS!$A:$F,6,FALSE),"")</f>
        <v/>
      </c>
      <c r="J73" s="2">
        <f>IF(AND($G73&lt;&gt;"",$I73&lt;&gt;""),$G73*$I73,"")</f>
        <v/>
      </c>
    </row>
    <row r="74">
      <c r="B74" s="2">
        <f>IFERROR(TEXT($A74,"YYYY-MM"),"")</f>
        <v/>
      </c>
      <c r="D74" s="2">
        <f>IFERROR(VLOOKUP($C74,INVENTORY!$A:$B,2,FALSE),"")</f>
        <v/>
      </c>
      <c r="H74" s="2">
        <f>IFERROR(VLOOKUP($E74,MATERIALS!$A:$C,3,FALSE),"")</f>
        <v/>
      </c>
      <c r="I74" s="2">
        <f>IFERROR(VLOOKUP($E74,MATERIALS!$A:$F,6,FALSE),"")</f>
        <v/>
      </c>
      <c r="J74" s="2">
        <f>IF(AND($G74&lt;&gt;"",$I74&lt;&gt;""),$G74*$I74,"")</f>
        <v/>
      </c>
    </row>
    <row r="75">
      <c r="B75" s="2">
        <f>IFERROR(TEXT($A75,"YYYY-MM"),"")</f>
        <v/>
      </c>
      <c r="D75" s="2">
        <f>IFERROR(VLOOKUP($C75,INVENTORY!$A:$B,2,FALSE),"")</f>
        <v/>
      </c>
      <c r="H75" s="2">
        <f>IFERROR(VLOOKUP($E75,MATERIALS!$A:$C,3,FALSE),"")</f>
        <v/>
      </c>
      <c r="I75" s="2">
        <f>IFERROR(VLOOKUP($E75,MATERIALS!$A:$F,6,FALSE),"")</f>
        <v/>
      </c>
      <c r="J75" s="2">
        <f>IF(AND($G75&lt;&gt;"",$I75&lt;&gt;""),$G75*$I75,"")</f>
        <v/>
      </c>
    </row>
    <row r="76">
      <c r="B76" s="2">
        <f>IFERROR(TEXT($A76,"YYYY-MM"),"")</f>
        <v/>
      </c>
      <c r="D76" s="2">
        <f>IFERROR(VLOOKUP($C76,INVENTORY!$A:$B,2,FALSE),"")</f>
        <v/>
      </c>
      <c r="H76" s="2">
        <f>IFERROR(VLOOKUP($E76,MATERIALS!$A:$C,3,FALSE),"")</f>
        <v/>
      </c>
      <c r="I76" s="2">
        <f>IFERROR(VLOOKUP($E76,MATERIALS!$A:$F,6,FALSE),"")</f>
        <v/>
      </c>
      <c r="J76" s="2">
        <f>IF(AND($G76&lt;&gt;"",$I76&lt;&gt;""),$G76*$I76,"")</f>
        <v/>
      </c>
    </row>
    <row r="77">
      <c r="B77" s="2">
        <f>IFERROR(TEXT($A77,"YYYY-MM"),"")</f>
        <v/>
      </c>
      <c r="D77" s="2">
        <f>IFERROR(VLOOKUP($C77,INVENTORY!$A:$B,2,FALSE),"")</f>
        <v/>
      </c>
      <c r="H77" s="2">
        <f>IFERROR(VLOOKUP($E77,MATERIALS!$A:$C,3,FALSE),"")</f>
        <v/>
      </c>
      <c r="I77" s="2">
        <f>IFERROR(VLOOKUP($E77,MATERIALS!$A:$F,6,FALSE),"")</f>
        <v/>
      </c>
      <c r="J77" s="2">
        <f>IF(AND($G77&lt;&gt;"",$I77&lt;&gt;""),$G77*$I77,"")</f>
        <v/>
      </c>
    </row>
    <row r="78">
      <c r="B78" s="2">
        <f>IFERROR(TEXT($A78,"YYYY-MM"),"")</f>
        <v/>
      </c>
      <c r="D78" s="2">
        <f>IFERROR(VLOOKUP($C78,INVENTORY!$A:$B,2,FALSE),"")</f>
        <v/>
      </c>
      <c r="H78" s="2">
        <f>IFERROR(VLOOKUP($E78,MATERIALS!$A:$C,3,FALSE),"")</f>
        <v/>
      </c>
      <c r="I78" s="2">
        <f>IFERROR(VLOOKUP($E78,MATERIALS!$A:$F,6,FALSE),"")</f>
        <v/>
      </c>
      <c r="J78" s="2">
        <f>IF(AND($G78&lt;&gt;"",$I78&lt;&gt;""),$G78*$I78,"")</f>
        <v/>
      </c>
    </row>
    <row r="79">
      <c r="B79" s="2">
        <f>IFERROR(TEXT($A79,"YYYY-MM"),"")</f>
        <v/>
      </c>
      <c r="D79" s="2">
        <f>IFERROR(VLOOKUP($C79,INVENTORY!$A:$B,2,FALSE),"")</f>
        <v/>
      </c>
      <c r="H79" s="2">
        <f>IFERROR(VLOOKUP($E79,MATERIALS!$A:$C,3,FALSE),"")</f>
        <v/>
      </c>
      <c r="I79" s="2">
        <f>IFERROR(VLOOKUP($E79,MATERIALS!$A:$F,6,FALSE),"")</f>
        <v/>
      </c>
      <c r="J79" s="2">
        <f>IF(AND($G79&lt;&gt;"",$I79&lt;&gt;""),$G79*$I79,"")</f>
        <v/>
      </c>
    </row>
    <row r="80">
      <c r="B80" s="2">
        <f>IFERROR(TEXT($A80,"YYYY-MM"),"")</f>
        <v/>
      </c>
      <c r="D80" s="2">
        <f>IFERROR(VLOOKUP($C80,INVENTORY!$A:$B,2,FALSE),"")</f>
        <v/>
      </c>
      <c r="H80" s="2">
        <f>IFERROR(VLOOKUP($E80,MATERIALS!$A:$C,3,FALSE),"")</f>
        <v/>
      </c>
      <c r="I80" s="2">
        <f>IFERROR(VLOOKUP($E80,MATERIALS!$A:$F,6,FALSE),"")</f>
        <v/>
      </c>
      <c r="J80" s="2">
        <f>IF(AND($G80&lt;&gt;"",$I80&lt;&gt;""),$G80*$I80,"")</f>
        <v/>
      </c>
    </row>
    <row r="81">
      <c r="B81" s="2">
        <f>IFERROR(TEXT($A81,"YYYY-MM"),"")</f>
        <v/>
      </c>
      <c r="D81" s="2">
        <f>IFERROR(VLOOKUP($C81,INVENTORY!$A:$B,2,FALSE),"")</f>
        <v/>
      </c>
      <c r="H81" s="2">
        <f>IFERROR(VLOOKUP($E81,MATERIALS!$A:$C,3,FALSE),"")</f>
        <v/>
      </c>
      <c r="I81" s="2">
        <f>IFERROR(VLOOKUP($E81,MATERIALS!$A:$F,6,FALSE),"")</f>
        <v/>
      </c>
      <c r="J81" s="2">
        <f>IF(AND($G81&lt;&gt;"",$I81&lt;&gt;""),$G81*$I81,"")</f>
        <v/>
      </c>
    </row>
    <row r="82">
      <c r="B82" s="2">
        <f>IFERROR(TEXT($A82,"YYYY-MM"),"")</f>
        <v/>
      </c>
      <c r="D82" s="2">
        <f>IFERROR(VLOOKUP($C82,INVENTORY!$A:$B,2,FALSE),"")</f>
        <v/>
      </c>
      <c r="H82" s="2">
        <f>IFERROR(VLOOKUP($E82,MATERIALS!$A:$C,3,FALSE),"")</f>
        <v/>
      </c>
      <c r="I82" s="2">
        <f>IFERROR(VLOOKUP($E82,MATERIALS!$A:$F,6,FALSE),"")</f>
        <v/>
      </c>
      <c r="J82" s="2">
        <f>IF(AND($G82&lt;&gt;"",$I82&lt;&gt;""),$G82*$I82,"")</f>
        <v/>
      </c>
    </row>
    <row r="83">
      <c r="B83" s="2">
        <f>IFERROR(TEXT($A83,"YYYY-MM"),"")</f>
        <v/>
      </c>
      <c r="D83" s="2">
        <f>IFERROR(VLOOKUP($C83,INVENTORY!$A:$B,2,FALSE),"")</f>
        <v/>
      </c>
      <c r="H83" s="2">
        <f>IFERROR(VLOOKUP($E83,MATERIALS!$A:$C,3,FALSE),"")</f>
        <v/>
      </c>
      <c r="I83" s="2">
        <f>IFERROR(VLOOKUP($E83,MATERIALS!$A:$F,6,FALSE),"")</f>
        <v/>
      </c>
      <c r="J83" s="2">
        <f>IF(AND($G83&lt;&gt;"",$I83&lt;&gt;""),$G83*$I83,"")</f>
        <v/>
      </c>
    </row>
    <row r="84">
      <c r="B84" s="2">
        <f>IFERROR(TEXT($A84,"YYYY-MM"),"")</f>
        <v/>
      </c>
      <c r="D84" s="2">
        <f>IFERROR(VLOOKUP($C84,INVENTORY!$A:$B,2,FALSE),"")</f>
        <v/>
      </c>
      <c r="H84" s="2">
        <f>IFERROR(VLOOKUP($E84,MATERIALS!$A:$C,3,FALSE),"")</f>
        <v/>
      </c>
      <c r="I84" s="2">
        <f>IFERROR(VLOOKUP($E84,MATERIALS!$A:$F,6,FALSE),"")</f>
        <v/>
      </c>
      <c r="J84" s="2">
        <f>IF(AND($G84&lt;&gt;"",$I84&lt;&gt;""),$G84*$I84,"")</f>
        <v/>
      </c>
    </row>
    <row r="85">
      <c r="B85" s="2">
        <f>IFERROR(TEXT($A85,"YYYY-MM"),"")</f>
        <v/>
      </c>
      <c r="D85" s="2">
        <f>IFERROR(VLOOKUP($C85,INVENTORY!$A:$B,2,FALSE),"")</f>
        <v/>
      </c>
      <c r="H85" s="2">
        <f>IFERROR(VLOOKUP($E85,MATERIALS!$A:$C,3,FALSE),"")</f>
        <v/>
      </c>
      <c r="I85" s="2">
        <f>IFERROR(VLOOKUP($E85,MATERIALS!$A:$F,6,FALSE),"")</f>
        <v/>
      </c>
      <c r="J85" s="2">
        <f>IF(AND($G85&lt;&gt;"",$I85&lt;&gt;""),$G85*$I85,"")</f>
        <v/>
      </c>
    </row>
    <row r="86">
      <c r="B86" s="2">
        <f>IFERROR(TEXT($A86,"YYYY-MM"),"")</f>
        <v/>
      </c>
      <c r="D86" s="2">
        <f>IFERROR(VLOOKUP($C86,INVENTORY!$A:$B,2,FALSE),"")</f>
        <v/>
      </c>
      <c r="H86" s="2">
        <f>IFERROR(VLOOKUP($E86,MATERIALS!$A:$C,3,FALSE),"")</f>
        <v/>
      </c>
      <c r="I86" s="2">
        <f>IFERROR(VLOOKUP($E86,MATERIALS!$A:$F,6,FALSE),"")</f>
        <v/>
      </c>
      <c r="J86" s="2">
        <f>IF(AND($G86&lt;&gt;"",$I86&lt;&gt;""),$G86*$I86,"")</f>
        <v/>
      </c>
    </row>
    <row r="87">
      <c r="B87" s="2">
        <f>IFERROR(TEXT($A87,"YYYY-MM"),"")</f>
        <v/>
      </c>
      <c r="D87" s="2">
        <f>IFERROR(VLOOKUP($C87,INVENTORY!$A:$B,2,FALSE),"")</f>
        <v/>
      </c>
      <c r="H87" s="2">
        <f>IFERROR(VLOOKUP($E87,MATERIALS!$A:$C,3,FALSE),"")</f>
        <v/>
      </c>
      <c r="I87" s="2">
        <f>IFERROR(VLOOKUP($E87,MATERIALS!$A:$F,6,FALSE),"")</f>
        <v/>
      </c>
      <c r="J87" s="2">
        <f>IF(AND($G87&lt;&gt;"",$I87&lt;&gt;""),$G87*$I87,"")</f>
        <v/>
      </c>
    </row>
    <row r="88">
      <c r="B88" s="2">
        <f>IFERROR(TEXT($A88,"YYYY-MM"),"")</f>
        <v/>
      </c>
      <c r="D88" s="2">
        <f>IFERROR(VLOOKUP($C88,INVENTORY!$A:$B,2,FALSE),"")</f>
        <v/>
      </c>
      <c r="H88" s="2">
        <f>IFERROR(VLOOKUP($E88,MATERIALS!$A:$C,3,FALSE),"")</f>
        <v/>
      </c>
      <c r="I88" s="2">
        <f>IFERROR(VLOOKUP($E88,MATERIALS!$A:$F,6,FALSE),"")</f>
        <v/>
      </c>
      <c r="J88" s="2">
        <f>IF(AND($G88&lt;&gt;"",$I88&lt;&gt;""),$G88*$I88,"")</f>
        <v/>
      </c>
    </row>
    <row r="89">
      <c r="B89" s="2">
        <f>IFERROR(TEXT($A89,"YYYY-MM"),"")</f>
        <v/>
      </c>
      <c r="D89" s="2">
        <f>IFERROR(VLOOKUP($C89,INVENTORY!$A:$B,2,FALSE),"")</f>
        <v/>
      </c>
      <c r="H89" s="2">
        <f>IFERROR(VLOOKUP($E89,MATERIALS!$A:$C,3,FALSE),"")</f>
        <v/>
      </c>
      <c r="I89" s="2">
        <f>IFERROR(VLOOKUP($E89,MATERIALS!$A:$F,6,FALSE),"")</f>
        <v/>
      </c>
      <c r="J89" s="2">
        <f>IF(AND($G89&lt;&gt;"",$I89&lt;&gt;""),$G89*$I89,"")</f>
        <v/>
      </c>
    </row>
    <row r="90">
      <c r="B90" s="2">
        <f>IFERROR(TEXT($A90,"YYYY-MM"),"")</f>
        <v/>
      </c>
      <c r="D90" s="2">
        <f>IFERROR(VLOOKUP($C90,INVENTORY!$A:$B,2,FALSE),"")</f>
        <v/>
      </c>
      <c r="H90" s="2">
        <f>IFERROR(VLOOKUP($E90,MATERIALS!$A:$C,3,FALSE),"")</f>
        <v/>
      </c>
      <c r="I90" s="2">
        <f>IFERROR(VLOOKUP($E90,MATERIALS!$A:$F,6,FALSE),"")</f>
        <v/>
      </c>
      <c r="J90" s="2">
        <f>IF(AND($G90&lt;&gt;"",$I90&lt;&gt;""),$G90*$I90,"")</f>
        <v/>
      </c>
    </row>
    <row r="91">
      <c r="B91" s="2">
        <f>IFERROR(TEXT($A91,"YYYY-MM"),"")</f>
        <v/>
      </c>
      <c r="D91" s="2">
        <f>IFERROR(VLOOKUP($C91,INVENTORY!$A:$B,2,FALSE),"")</f>
        <v/>
      </c>
      <c r="H91" s="2">
        <f>IFERROR(VLOOKUP($E91,MATERIALS!$A:$C,3,FALSE),"")</f>
        <v/>
      </c>
      <c r="I91" s="2">
        <f>IFERROR(VLOOKUP($E91,MATERIALS!$A:$F,6,FALSE),"")</f>
        <v/>
      </c>
      <c r="J91" s="2">
        <f>IF(AND($G91&lt;&gt;"",$I91&lt;&gt;""),$G91*$I91,"")</f>
        <v/>
      </c>
    </row>
    <row r="92">
      <c r="B92" s="2">
        <f>IFERROR(TEXT($A92,"YYYY-MM"),"")</f>
        <v/>
      </c>
      <c r="D92" s="2">
        <f>IFERROR(VLOOKUP($C92,INVENTORY!$A:$B,2,FALSE),"")</f>
        <v/>
      </c>
      <c r="H92" s="2">
        <f>IFERROR(VLOOKUP($E92,MATERIALS!$A:$C,3,FALSE),"")</f>
        <v/>
      </c>
      <c r="I92" s="2">
        <f>IFERROR(VLOOKUP($E92,MATERIALS!$A:$F,6,FALSE),"")</f>
        <v/>
      </c>
      <c r="J92" s="2">
        <f>IF(AND($G92&lt;&gt;"",$I92&lt;&gt;""),$G92*$I92,"")</f>
        <v/>
      </c>
    </row>
    <row r="93">
      <c r="B93" s="2">
        <f>IFERROR(TEXT($A93,"YYYY-MM"),"")</f>
        <v/>
      </c>
      <c r="D93" s="2">
        <f>IFERROR(VLOOKUP($C93,INVENTORY!$A:$B,2,FALSE),"")</f>
        <v/>
      </c>
      <c r="H93" s="2">
        <f>IFERROR(VLOOKUP($E93,MATERIALS!$A:$C,3,FALSE),"")</f>
        <v/>
      </c>
      <c r="I93" s="2">
        <f>IFERROR(VLOOKUP($E93,MATERIALS!$A:$F,6,FALSE),"")</f>
        <v/>
      </c>
      <c r="J93" s="2">
        <f>IF(AND($G93&lt;&gt;"",$I93&lt;&gt;""),$G93*$I93,"")</f>
        <v/>
      </c>
    </row>
    <row r="94">
      <c r="B94" s="2">
        <f>IFERROR(TEXT($A94,"YYYY-MM"),"")</f>
        <v/>
      </c>
      <c r="D94" s="2">
        <f>IFERROR(VLOOKUP($C94,INVENTORY!$A:$B,2,FALSE),"")</f>
        <v/>
      </c>
      <c r="H94" s="2">
        <f>IFERROR(VLOOKUP($E94,MATERIALS!$A:$C,3,FALSE),"")</f>
        <v/>
      </c>
      <c r="I94" s="2">
        <f>IFERROR(VLOOKUP($E94,MATERIALS!$A:$F,6,FALSE),"")</f>
        <v/>
      </c>
      <c r="J94" s="2">
        <f>IF(AND($G94&lt;&gt;"",$I94&lt;&gt;""),$G94*$I94,"")</f>
        <v/>
      </c>
    </row>
    <row r="95">
      <c r="B95" s="2">
        <f>IFERROR(TEXT($A95,"YYYY-MM"),"")</f>
        <v/>
      </c>
      <c r="D95" s="2">
        <f>IFERROR(VLOOKUP($C95,INVENTORY!$A:$B,2,FALSE),"")</f>
        <v/>
      </c>
      <c r="H95" s="2">
        <f>IFERROR(VLOOKUP($E95,MATERIALS!$A:$C,3,FALSE),"")</f>
        <v/>
      </c>
      <c r="I95" s="2">
        <f>IFERROR(VLOOKUP($E95,MATERIALS!$A:$F,6,FALSE),"")</f>
        <v/>
      </c>
      <c r="J95" s="2">
        <f>IF(AND($G95&lt;&gt;"",$I95&lt;&gt;""),$G95*$I95,"")</f>
        <v/>
      </c>
    </row>
    <row r="96">
      <c r="B96" s="2">
        <f>IFERROR(TEXT($A96,"YYYY-MM"),"")</f>
        <v/>
      </c>
      <c r="D96" s="2">
        <f>IFERROR(VLOOKUP($C96,INVENTORY!$A:$B,2,FALSE),"")</f>
        <v/>
      </c>
      <c r="H96" s="2">
        <f>IFERROR(VLOOKUP($E96,MATERIALS!$A:$C,3,FALSE),"")</f>
        <v/>
      </c>
      <c r="I96" s="2">
        <f>IFERROR(VLOOKUP($E96,MATERIALS!$A:$F,6,FALSE),"")</f>
        <v/>
      </c>
      <c r="J96" s="2">
        <f>IF(AND($G96&lt;&gt;"",$I96&lt;&gt;""),$G96*$I96,"")</f>
        <v/>
      </c>
    </row>
    <row r="97">
      <c r="B97" s="2">
        <f>IFERROR(TEXT($A97,"YYYY-MM"),"")</f>
        <v/>
      </c>
      <c r="D97" s="2">
        <f>IFERROR(VLOOKUP($C97,INVENTORY!$A:$B,2,FALSE),"")</f>
        <v/>
      </c>
      <c r="H97" s="2">
        <f>IFERROR(VLOOKUP($E97,MATERIALS!$A:$C,3,FALSE),"")</f>
        <v/>
      </c>
      <c r="I97" s="2">
        <f>IFERROR(VLOOKUP($E97,MATERIALS!$A:$F,6,FALSE),"")</f>
        <v/>
      </c>
      <c r="J97" s="2">
        <f>IF(AND($G97&lt;&gt;"",$I97&lt;&gt;""),$G97*$I97,"")</f>
        <v/>
      </c>
    </row>
    <row r="98">
      <c r="B98" s="2">
        <f>IFERROR(TEXT($A98,"YYYY-MM"),"")</f>
        <v/>
      </c>
      <c r="D98" s="2">
        <f>IFERROR(VLOOKUP($C98,INVENTORY!$A:$B,2,FALSE),"")</f>
        <v/>
      </c>
      <c r="H98" s="2">
        <f>IFERROR(VLOOKUP($E98,MATERIALS!$A:$C,3,FALSE),"")</f>
        <v/>
      </c>
      <c r="I98" s="2">
        <f>IFERROR(VLOOKUP($E98,MATERIALS!$A:$F,6,FALSE),"")</f>
        <v/>
      </c>
      <c r="J98" s="2">
        <f>IF(AND($G98&lt;&gt;"",$I98&lt;&gt;""),$G98*$I98,"")</f>
        <v/>
      </c>
    </row>
    <row r="99">
      <c r="B99" s="2">
        <f>IFERROR(TEXT($A99,"YYYY-MM"),"")</f>
        <v/>
      </c>
      <c r="D99" s="2">
        <f>IFERROR(VLOOKUP($C99,INVENTORY!$A:$B,2,FALSE),"")</f>
        <v/>
      </c>
      <c r="H99" s="2">
        <f>IFERROR(VLOOKUP($E99,MATERIALS!$A:$C,3,FALSE),"")</f>
        <v/>
      </c>
      <c r="I99" s="2">
        <f>IFERROR(VLOOKUP($E99,MATERIALS!$A:$F,6,FALSE),"")</f>
        <v/>
      </c>
      <c r="J99" s="2">
        <f>IF(AND($G99&lt;&gt;"",$I99&lt;&gt;""),$G99*$I99,"")</f>
        <v/>
      </c>
    </row>
    <row r="100">
      <c r="B100" s="2">
        <f>IFERROR(TEXT($A100,"YYYY-MM"),"")</f>
        <v/>
      </c>
      <c r="D100" s="2">
        <f>IFERROR(VLOOKUP($C100,INVENTORY!$A:$B,2,FALSE),"")</f>
        <v/>
      </c>
      <c r="H100" s="2">
        <f>IFERROR(VLOOKUP($E100,MATERIALS!$A:$C,3,FALSE),"")</f>
        <v/>
      </c>
      <c r="I100" s="2">
        <f>IFERROR(VLOOKUP($E100,MATERIALS!$A:$F,6,FALSE),"")</f>
        <v/>
      </c>
      <c r="J100" s="2">
        <f>IF(AND($G100&lt;&gt;"",$I100&lt;&gt;""),$G100*$I100,"")</f>
        <v/>
      </c>
    </row>
  </sheetData>
  <dataValidations count="3">
    <dataValidation sqref="C2:C100" showDropDown="0" showInputMessage="0" showErrorMessage="0" allowBlank="1" type="list">
      <formula1>INVENTORY!$A$2:$A$1000</formula1>
    </dataValidation>
    <dataValidation sqref="E2:E100" showDropDown="0" showInputMessage="0" showErrorMessage="0" allowBlank="1" type="list">
      <formula1>MATERIALS!$A$2:$A$1000</formula1>
    </dataValidation>
    <dataValidation sqref="F2:F100" showDropDown="0" showInputMessage="0" showErrorMessage="0" allowBlank="1" type="list">
      <formula1>"R&amp;D,Production"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Done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Business Loomline — data guide + automation</t>
        </is>
      </c>
    </row>
    <row r="2">
      <c r="A2" s="5" t="inlineStr">
        <is>
          <t>Blue columns are AUTOMATIC (formulas) — don't type in them. Fill the rest; use dropdowns. Enter dates as real dates.</t>
        </is>
      </c>
    </row>
    <row r="3">
      <c r="A3" s="5" t="inlineStr"/>
    </row>
    <row r="4">
      <c r="A4" s="6" t="inlineStr">
        <is>
          <t>PER-PIECE COST (INVENTORY)</t>
        </is>
      </c>
    </row>
    <row r="5">
      <c r="A5" s="5" t="inlineStr">
        <is>
          <t>unit_cost is auto = fabric_cost + print_cost + paint_cost + embroidery_cost. Type each element; the total builds itself. (fabric_cost is seeded with your current unit_cost — split the techniques out as you refine.)</t>
        </is>
      </c>
    </row>
    <row r="6">
      <c r="A6" s="5" t="inlineStr">
        <is>
          <t>Don't fold printing into the fabric rate — keep fabric per-metre, and printing/painting/embroidery as their own per-piece columns so you can see each.</t>
        </is>
      </c>
    </row>
    <row r="7">
      <c r="A7" s="5" t="inlineStr"/>
    </row>
    <row r="8">
      <c r="A8" s="6" t="inlineStr">
        <is>
          <t>MATERIALS + SKU_MATERIALS</t>
        </is>
      </c>
    </row>
    <row r="9">
      <c r="A9" s="5" t="inlineStr">
        <is>
          <t>MATERIALS auto-deducts on-hand as you log usage. SKU_MATERIALS: pick sku + material (dropdowns), enter qty_used; family/unit/rate/cost auto-fill.</t>
        </is>
      </c>
    </row>
    <row r="10">
      <c r="A10" s="5" t="inlineStr"/>
    </row>
    <row r="11">
      <c r="A11" s="6" t="inlineStr">
        <is>
          <t>MONTHS</t>
        </is>
      </c>
    </row>
    <row r="12">
      <c r="A12" s="5" t="inlineStr">
        <is>
          <t>REVENUE, COSTS and SKU_MATERIALS have an auto 'month' column (YYYY-MM) from the date — sort or pivot by it to see data month-wise.</t>
        </is>
      </c>
    </row>
    <row r="13">
      <c r="A13" s="5" t="inlineStr"/>
    </row>
    <row r="14">
      <c r="A14" s="5" t="inlineStr">
        <is>
          <t>Money rule: fabric PURCHASE is the expense (log once in COSTS). MATERIALS/SKU_MATERIALS track metres + per-piece cost, not a second expense.</t>
        </is>
      </c>
    </row>
    <row r="15">
      <c r="A15" s="5" t="inlineStr">
        <is>
          <t>Full model: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2026-07-21T11:57:48Z</dcterms:created>
  <dcterms:modified xsi:type="dcterms:W3CDTF">2026-07-21T11:57:54Z</dcterms:modified>
</cp:coreProperties>
</file>