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BRANDS" sheetId="2" state="visible" r:id="rId2"/>
    <sheet name="INVENTORY" sheetId="3" state="visible" r:id="rId3"/>
    <sheet name="REVENUE" sheetId="4" state="visible" r:id="rId4"/>
    <sheet name="COSTS" sheetId="5" state="visible" r:id="rId5"/>
    <sheet name="CHANNELS" sheetId="6" state="visible" r:id="rId6"/>
    <sheet name="CUSTOMERS" sheetId="7" state="visible" r:id="rId7"/>
    <sheet name="MATERIALS" sheetId="8" state="visible" r:id="rId8"/>
    <sheet name="SKU_MATERIALS" sheetId="9" state="visible" r:id="rId9"/>
    <sheet name="ALERTS" sheetId="10" state="visible" r:id="rId10"/>
    <sheet name="TARGETS" sheetId="11" state="visible" r:id="rId11"/>
    <sheet name="Style-Family Naming" sheetId="12" state="visible" r:id="rId12"/>
    <sheet name="Cust ID" sheetId="13" state="visible" r:id="rId13"/>
    <sheet name="How to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3F2ED"/>
      <sz val="10"/>
    </font>
    <font>
      <i val="1"/>
      <color rgb="006B675E"/>
      <sz val="10"/>
    </font>
    <font>
      <b val="1"/>
      <sz val="13"/>
    </font>
    <font>
      <sz val="1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61511"/>
      </patternFill>
    </fill>
    <fill>
      <patternFill patternType="solid">
        <fgColor rgb="00EFEDE6"/>
      </patternFill>
    </fill>
    <fill>
      <patternFill patternType="solid">
        <fgColor rgb="00EAF1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0" fillId="4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21" customWidth="1" min="3" max="3"/>
    <col width="11" customWidth="1" min="4" max="4"/>
    <col width="17" customWidth="1" min="5" max="5"/>
  </cols>
  <sheetData>
    <row r="1">
      <c r="A1" s="1" t="inlineStr">
        <is>
          <t>last_updated</t>
        </is>
      </c>
      <c r="B1" s="1" t="inlineStr">
        <is>
          <t>brands</t>
        </is>
      </c>
      <c r="C1" s="1" t="inlineStr">
        <is>
          <t>fiscal_start_month</t>
        </is>
      </c>
      <c r="D1" s="1" t="inlineStr">
        <is>
          <t>currency</t>
        </is>
      </c>
      <c r="E1" s="1" t="inlineStr">
        <is>
          <t>gst_registered</t>
        </is>
      </c>
    </row>
    <row r="2">
      <c r="A2" t="inlineStr">
        <is>
          <t>18/07/2026</t>
        </is>
      </c>
      <c r="B2" t="n">
        <v>2</v>
      </c>
      <c r="C2" t="n">
        <v>4</v>
      </c>
      <c r="D2" t="inlineStr">
        <is>
          <t>INR</t>
        </is>
      </c>
      <c r="E2" t="inlineStr">
        <is>
          <t>No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6" customWidth="1" min="3" max="3"/>
    <col width="11" customWidth="1" min="4" max="4"/>
  </cols>
  <sheetData>
    <row r="1">
      <c r="A1" s="1" t="inlineStr">
        <is>
          <t>brand_id</t>
        </is>
      </c>
      <c r="B1" s="1" t="inlineStr">
        <is>
          <t>brand_name</t>
        </is>
      </c>
      <c r="C1" s="1" t="inlineStr">
        <is>
          <t>color_primary</t>
        </is>
      </c>
      <c r="D1" s="1" t="inlineStr">
        <is>
          <t>status</t>
        </is>
      </c>
    </row>
    <row r="2">
      <c r="A2" t="inlineStr">
        <is>
          <t>HB</t>
        </is>
      </c>
      <c r="B2" t="inlineStr">
        <is>
          <t>The Hullabalooo</t>
        </is>
      </c>
      <c r="C2" t="inlineStr">
        <is>
          <t>#A13E63</t>
        </is>
      </c>
      <c r="D2" t="inlineStr">
        <is>
          <t>Active</t>
        </is>
      </c>
    </row>
    <row r="3">
      <c r="A3" t="inlineStr">
        <is>
          <t>PS</t>
        </is>
      </c>
      <c r="B3" t="inlineStr">
        <is>
          <t>The Pappy Show</t>
        </is>
      </c>
      <c r="C3" t="inlineStr">
        <is>
          <t>#2F6D77</t>
        </is>
      </c>
      <c r="D3" t="inlineStr">
        <is>
          <t>Active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1" customWidth="1" min="3" max="3"/>
    <col width="15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3" customWidth="1" min="10" max="10"/>
    <col width="19" customWidth="1" min="11" max="11"/>
    <col width="16" customWidth="1" min="12" max="12"/>
    <col width="12" customWidth="1" min="13" max="13"/>
    <col width="11" customWidth="1" min="14" max="14"/>
    <col width="13" customWidth="1" min="15" max="15"/>
    <col width="13" customWidth="1" min="16" max="16"/>
    <col width="12" customWidth="1" min="17" max="17"/>
    <col width="11" customWidth="1" min="18" max="18"/>
  </cols>
  <sheetData>
    <row r="1">
      <c r="A1" s="1" t="inlineStr">
        <is>
          <t>sku</t>
        </is>
      </c>
      <c r="B1" s="1" t="inlineStr">
        <is>
          <t>style_family</t>
        </is>
      </c>
      <c r="C1" s="1" t="inlineStr">
        <is>
          <t>brand_id</t>
        </is>
      </c>
      <c r="D1" s="1" t="inlineStr">
        <is>
          <t>product_name</t>
        </is>
      </c>
      <c r="E1" s="1" t="inlineStr">
        <is>
          <t>category</t>
        </is>
      </c>
      <c r="F1" s="1" t="inlineStr">
        <is>
          <t>size</t>
        </is>
      </c>
      <c r="G1" s="1" t="inlineStr">
        <is>
          <t>collection</t>
        </is>
      </c>
      <c r="H1" s="1" t="inlineStr">
        <is>
          <t>fabric</t>
        </is>
      </c>
      <c r="I1" s="1" t="inlineStr">
        <is>
          <t>unit_cost</t>
        </is>
      </c>
      <c r="J1" s="1" t="inlineStr">
        <is>
          <t>unit_price</t>
        </is>
      </c>
      <c r="K1" s="1" t="inlineStr">
        <is>
          <t>quantity_on_hand</t>
        </is>
      </c>
      <c r="L1" s="1" t="inlineStr">
        <is>
          <t>reorder_level</t>
        </is>
      </c>
      <c r="M1" s="1" t="inlineStr">
        <is>
          <t>warehouse</t>
        </is>
      </c>
      <c r="N1" s="1" t="inlineStr">
        <is>
          <t>status</t>
        </is>
      </c>
      <c r="O1" s="1" t="inlineStr">
        <is>
          <t>silhouette</t>
        </is>
      </c>
      <c r="P1" s="1" t="inlineStr">
        <is>
          <t>proportion</t>
        </is>
      </c>
      <c r="Q1" s="1" t="inlineStr">
        <is>
          <t>technique</t>
        </is>
      </c>
      <c r="R1" s="1" t="inlineStr">
        <is>
          <t>colour</t>
        </is>
      </c>
    </row>
    <row r="2">
      <c r="A2" t="inlineStr">
        <is>
          <t>HB1PHE-CP</t>
        </is>
      </c>
      <c r="B2" t="inlineStr">
        <is>
          <t>HB1PHE</t>
        </is>
      </c>
      <c r="C2" t="inlineStr">
        <is>
          <t>HB</t>
        </is>
      </c>
      <c r="D2" t="inlineStr">
        <is>
          <t>Unisex Compliments</t>
        </is>
      </c>
      <c r="E2" t="inlineStr">
        <is>
          <t>Shirt</t>
        </is>
      </c>
      <c r="F2" t="inlineStr">
        <is>
          <t>L</t>
        </is>
      </c>
      <c r="G2" t="inlineStr">
        <is>
          <t>#1</t>
        </is>
      </c>
      <c r="H2" t="inlineStr">
        <is>
          <t>Bamboo</t>
        </is>
      </c>
      <c r="I2" t="n">
        <v>2200</v>
      </c>
      <c r="J2" t="n">
        <v>9595</v>
      </c>
      <c r="K2" t="n">
        <v>1</v>
      </c>
      <c r="M2" t="inlineStr">
        <is>
          <t>Mumbai</t>
        </is>
      </c>
      <c r="N2" t="inlineStr">
        <is>
          <t>Active</t>
        </is>
      </c>
      <c r="O2" t="inlineStr">
        <is>
          <t>Short Sleeve Shirt + Running Embroidery</t>
        </is>
      </c>
      <c r="P2" t="inlineStr">
        <is>
          <t>Relaxed</t>
        </is>
      </c>
      <c r="Q2" t="inlineStr">
        <is>
          <t>Digital print + Hand Embroidery</t>
        </is>
      </c>
      <c r="R2" t="inlineStr">
        <is>
          <t>Indigo Blue</t>
        </is>
      </c>
    </row>
    <row r="3">
      <c r="A3" t="inlineStr">
        <is>
          <t>HB1HE-DY</t>
        </is>
      </c>
      <c r="B3" t="inlineStr">
        <is>
          <t>HB1HE</t>
        </is>
      </c>
      <c r="C3" t="inlineStr">
        <is>
          <t>HB</t>
        </is>
      </c>
      <c r="D3" t="inlineStr">
        <is>
          <t>Unisex Damru Yatra</t>
        </is>
      </c>
      <c r="E3" t="inlineStr">
        <is>
          <t>Shirt</t>
        </is>
      </c>
      <c r="F3" t="inlineStr">
        <is>
          <t>L</t>
        </is>
      </c>
      <c r="G3" t="inlineStr">
        <is>
          <t>#1</t>
        </is>
      </c>
      <c r="H3" t="inlineStr">
        <is>
          <t>100% Linen</t>
        </is>
      </c>
      <c r="I3" t="n">
        <v>2500</v>
      </c>
      <c r="J3" t="n">
        <v>8585</v>
      </c>
      <c r="K3" t="n">
        <v>1</v>
      </c>
      <c r="M3" t="inlineStr">
        <is>
          <t>Mumbai</t>
        </is>
      </c>
      <c r="N3" t="inlineStr">
        <is>
          <t>Active</t>
        </is>
      </c>
      <c r="O3" t="inlineStr">
        <is>
          <t>Long Sleeve Shirt + Small Object Hand Embroidery</t>
        </is>
      </c>
      <c r="P3" t="inlineStr">
        <is>
          <t>Relaxed</t>
        </is>
      </c>
      <c r="Q3" t="inlineStr">
        <is>
          <t>Hand Embroidery</t>
        </is>
      </c>
      <c r="R3" t="inlineStr">
        <is>
          <t>Olive Green</t>
        </is>
      </c>
    </row>
    <row r="4">
      <c r="A4" t="inlineStr">
        <is>
          <t>HB1HE-PO</t>
        </is>
      </c>
      <c r="B4" t="inlineStr">
        <is>
          <t>HB1HE</t>
        </is>
      </c>
      <c r="C4" t="inlineStr">
        <is>
          <t>HB</t>
        </is>
      </c>
      <c r="D4" t="inlineStr">
        <is>
          <t>Female Croptop - Portals</t>
        </is>
      </c>
      <c r="E4" t="inlineStr">
        <is>
          <t>Shirt</t>
        </is>
      </c>
      <c r="F4" t="inlineStr">
        <is>
          <t>L</t>
        </is>
      </c>
      <c r="G4" t="inlineStr">
        <is>
          <t>#1</t>
        </is>
      </c>
      <c r="H4" t="inlineStr">
        <is>
          <t>Mixed: Cotton + Linen</t>
        </is>
      </c>
      <c r="I4" t="n">
        <v>2600</v>
      </c>
      <c r="J4" t="n">
        <v>9999</v>
      </c>
      <c r="K4" t="n">
        <v>1</v>
      </c>
      <c r="M4" t="inlineStr">
        <is>
          <t>Mumbai</t>
        </is>
      </c>
      <c r="N4" t="inlineStr">
        <is>
          <t>Active</t>
        </is>
      </c>
      <c r="O4" t="inlineStr">
        <is>
          <t>Short Sleeve + Long Crop Top + Medium Embroidery</t>
        </is>
      </c>
      <c r="P4" t="inlineStr">
        <is>
          <t>Relaxed</t>
        </is>
      </c>
      <c r="Q4" t="inlineStr">
        <is>
          <t>Hand Embroidery</t>
        </is>
      </c>
      <c r="R4" t="inlineStr">
        <is>
          <t>White</t>
        </is>
      </c>
    </row>
    <row r="5">
      <c r="A5" t="inlineStr">
        <is>
          <t>HB1HE-HH</t>
        </is>
      </c>
      <c r="B5" t="inlineStr">
        <is>
          <t>HB1HE</t>
        </is>
      </c>
      <c r="C5" t="inlineStr">
        <is>
          <t>HB</t>
        </is>
      </c>
      <c r="D5" t="inlineStr">
        <is>
          <t>Unisex - Harm the Harmonium</t>
        </is>
      </c>
      <c r="E5" t="inlineStr">
        <is>
          <t>Shirt</t>
        </is>
      </c>
      <c r="F5" t="inlineStr">
        <is>
          <t>L</t>
        </is>
      </c>
      <c r="G5" t="inlineStr">
        <is>
          <t>#1</t>
        </is>
      </c>
      <c r="H5" t="inlineStr">
        <is>
          <t>Mixed: Cotton + Linen</t>
        </is>
      </c>
      <c r="I5" t="n">
        <v>2800</v>
      </c>
      <c r="J5" t="n">
        <v>10100</v>
      </c>
      <c r="K5" t="n">
        <v>1</v>
      </c>
      <c r="M5" t="inlineStr">
        <is>
          <t>Mumbai</t>
        </is>
      </c>
      <c r="N5" t="inlineStr">
        <is>
          <t>Active</t>
        </is>
      </c>
      <c r="O5" t="inlineStr">
        <is>
          <t>Short Sleeve Shirt + Hand Embroidery on Neck</t>
        </is>
      </c>
      <c r="P5" t="inlineStr">
        <is>
          <t>Relaxed</t>
        </is>
      </c>
      <c r="Q5" t="inlineStr">
        <is>
          <t>Hand Embroidery</t>
        </is>
      </c>
      <c r="R5" t="inlineStr">
        <is>
          <t>Off-White</t>
        </is>
      </c>
    </row>
    <row r="6">
      <c r="A6" t="inlineStr">
        <is>
          <t>HB1HE-SB</t>
        </is>
      </c>
      <c r="B6" t="inlineStr">
        <is>
          <t>HB1HE</t>
        </is>
      </c>
      <c r="C6" t="inlineStr">
        <is>
          <t>HB</t>
        </is>
      </c>
      <c r="D6" t="inlineStr">
        <is>
          <t>Female Croptop - Sour beans</t>
        </is>
      </c>
      <c r="E6" t="inlineStr">
        <is>
          <t>Shirt</t>
        </is>
      </c>
      <c r="F6" t="inlineStr">
        <is>
          <t>L</t>
        </is>
      </c>
      <c r="G6" t="inlineStr">
        <is>
          <t>#1</t>
        </is>
      </c>
      <c r="H6" t="inlineStr">
        <is>
          <t>Bamboo</t>
        </is>
      </c>
      <c r="I6" t="n">
        <v>3000</v>
      </c>
      <c r="J6" t="n">
        <v>12345</v>
      </c>
      <c r="K6" t="n">
        <v>1</v>
      </c>
      <c r="M6" t="inlineStr">
        <is>
          <t>Mumbai</t>
        </is>
      </c>
      <c r="N6" t="inlineStr">
        <is>
          <t>Active</t>
        </is>
      </c>
      <c r="O6" t="inlineStr">
        <is>
          <t>Short Crop Shirt + Full Hand Embroidery</t>
        </is>
      </c>
      <c r="P6" t="inlineStr">
        <is>
          <t>Relaxed</t>
        </is>
      </c>
      <c r="Q6" t="inlineStr">
        <is>
          <t>Hand Embroidery</t>
        </is>
      </c>
      <c r="R6" t="inlineStr">
        <is>
          <t>White</t>
        </is>
      </c>
    </row>
    <row r="7">
      <c r="A7" t="inlineStr">
        <is>
          <t>HBIHP-LB</t>
        </is>
      </c>
      <c r="B7" t="inlineStr">
        <is>
          <t>HBIHP</t>
        </is>
      </c>
      <c r="C7" t="inlineStr">
        <is>
          <t>HB</t>
        </is>
      </c>
      <c r="D7" t="inlineStr">
        <is>
          <t>Lost Bubble - Hand Painting</t>
        </is>
      </c>
      <c r="E7" t="inlineStr">
        <is>
          <t>Jacket</t>
        </is>
      </c>
      <c r="F7" t="inlineStr"/>
      <c r="G7" t="inlineStr">
        <is>
          <t>#1</t>
        </is>
      </c>
      <c r="H7" t="inlineStr">
        <is>
          <t>Upcycled</t>
        </is>
      </c>
      <c r="I7" t="n">
        <v>2500</v>
      </c>
      <c r="J7" t="n">
        <v>7272</v>
      </c>
      <c r="K7" t="n">
        <v>1</v>
      </c>
      <c r="M7" t="inlineStr">
        <is>
          <t>Mumbai</t>
        </is>
      </c>
      <c r="N7" t="inlineStr">
        <is>
          <t>Active</t>
        </is>
      </c>
      <c r="O7" t="inlineStr">
        <is>
          <t>Sleevles + Hand Embroidery + Hand Painting</t>
        </is>
      </c>
      <c r="P7" t="inlineStr">
        <is>
          <t>Relaxed</t>
        </is>
      </c>
      <c r="Q7" t="inlineStr">
        <is>
          <t>Hand Embroidery</t>
        </is>
      </c>
      <c r="R7" t="inlineStr">
        <is>
          <t>Off-White</t>
        </is>
      </c>
    </row>
    <row r="8">
      <c r="A8" t="inlineStr">
        <is>
          <t>HB1HE-CS</t>
        </is>
      </c>
      <c r="B8" t="inlineStr">
        <is>
          <t>HB1HE</t>
        </is>
      </c>
      <c r="C8" t="inlineStr">
        <is>
          <t>HB</t>
        </is>
      </c>
      <c r="D8" t="inlineStr">
        <is>
          <t>Female Long shirt - Chaotic Strings</t>
        </is>
      </c>
      <c r="E8" t="inlineStr">
        <is>
          <t>Shirt</t>
        </is>
      </c>
      <c r="F8" t="inlineStr">
        <is>
          <t>L</t>
        </is>
      </c>
      <c r="G8" t="inlineStr">
        <is>
          <t>#1</t>
        </is>
      </c>
      <c r="H8" t="inlineStr">
        <is>
          <t>Bamboo</t>
        </is>
      </c>
      <c r="I8" t="n">
        <v>3000</v>
      </c>
      <c r="J8" t="n">
        <v>12121</v>
      </c>
      <c r="K8" t="n">
        <v>1</v>
      </c>
      <c r="M8" t="inlineStr">
        <is>
          <t>Mumbai</t>
        </is>
      </c>
      <c r="N8" t="inlineStr">
        <is>
          <t>Active</t>
        </is>
      </c>
      <c r="O8" t="inlineStr">
        <is>
          <t>Long Shirt - Print + Medium Hand Embroidery</t>
        </is>
      </c>
      <c r="P8" t="inlineStr">
        <is>
          <t>Relaxed</t>
        </is>
      </c>
      <c r="Q8" t="inlineStr">
        <is>
          <t>Digital print + Hand Embroidery</t>
        </is>
      </c>
      <c r="R8" t="inlineStr">
        <is>
          <t>Red</t>
        </is>
      </c>
    </row>
    <row r="9">
      <c r="A9" t="inlineStr">
        <is>
          <t>HB1HE-LM</t>
        </is>
      </c>
      <c r="B9" t="inlineStr">
        <is>
          <t>HB1HE</t>
        </is>
      </c>
      <c r="C9" t="inlineStr">
        <is>
          <t>HB</t>
        </is>
      </c>
      <c r="D9" t="inlineStr">
        <is>
          <t>Female Long Shirt - Checkered L Move</t>
        </is>
      </c>
      <c r="E9" t="inlineStr">
        <is>
          <t>Shirt</t>
        </is>
      </c>
      <c r="F9" t="inlineStr">
        <is>
          <t>L</t>
        </is>
      </c>
      <c r="G9" t="inlineStr">
        <is>
          <t>#1</t>
        </is>
      </c>
      <c r="H9" t="inlineStr">
        <is>
          <t>Bamboo</t>
        </is>
      </c>
      <c r="I9" t="n">
        <v>3000</v>
      </c>
      <c r="J9" t="n">
        <v>12121</v>
      </c>
      <c r="K9" t="n">
        <v>1</v>
      </c>
      <c r="M9" t="inlineStr">
        <is>
          <t>Mumbai</t>
        </is>
      </c>
      <c r="N9" t="inlineStr">
        <is>
          <t>Active</t>
        </is>
      </c>
      <c r="O9" t="inlineStr">
        <is>
          <t>Long Shirt Print + Upcycled Applique + Hand Embroidery</t>
        </is>
      </c>
      <c r="P9" t="inlineStr">
        <is>
          <t>Relaxed</t>
        </is>
      </c>
      <c r="Q9" t="inlineStr">
        <is>
          <t>Hand Embroidery</t>
        </is>
      </c>
      <c r="R9" t="inlineStr">
        <is>
          <t>Black and White</t>
        </is>
      </c>
    </row>
    <row r="10">
      <c r="A10" t="inlineStr">
        <is>
          <t>HB1DP-PLY</t>
        </is>
      </c>
      <c r="B10" t="inlineStr">
        <is>
          <t>HB1DP</t>
        </is>
      </c>
      <c r="C10" t="inlineStr">
        <is>
          <t>HB</t>
        </is>
      </c>
      <c r="D10" t="inlineStr">
        <is>
          <t xml:space="preserve">Unisex Plain - Flourescent Yellow </t>
        </is>
      </c>
      <c r="E10" t="inlineStr">
        <is>
          <t>Shirt</t>
        </is>
      </c>
      <c r="F10" t="inlineStr">
        <is>
          <t>L</t>
        </is>
      </c>
      <c r="G10" t="inlineStr">
        <is>
          <t>#1</t>
        </is>
      </c>
      <c r="H10" t="inlineStr">
        <is>
          <t>Bamboo</t>
        </is>
      </c>
      <c r="I10" t="n">
        <v>1600</v>
      </c>
      <c r="J10" t="n">
        <v>5995</v>
      </c>
      <c r="K10" t="n">
        <v>1</v>
      </c>
      <c r="M10" t="inlineStr">
        <is>
          <t>Mumbai</t>
        </is>
      </c>
      <c r="N10" t="inlineStr">
        <is>
          <t>Active</t>
        </is>
      </c>
      <c r="O10" t="inlineStr">
        <is>
          <t>Half Sleeve + Digital Print One Colour</t>
        </is>
      </c>
      <c r="P10" t="inlineStr">
        <is>
          <t>Relaxed</t>
        </is>
      </c>
      <c r="Q10" t="inlineStr">
        <is>
          <t>Digital Print</t>
        </is>
      </c>
      <c r="R10" t="inlineStr">
        <is>
          <t>Flourscent Yellow</t>
        </is>
      </c>
    </row>
    <row r="11">
      <c r="A11" t="inlineStr">
        <is>
          <t>HB1JAHE-FF</t>
        </is>
      </c>
      <c r="B11" t="inlineStr">
        <is>
          <t>HB1JAHE</t>
        </is>
      </c>
      <c r="C11" t="inlineStr">
        <is>
          <t>HB</t>
        </is>
      </c>
      <c r="D11" t="inlineStr">
        <is>
          <t>Free Frog Female Jacket</t>
        </is>
      </c>
      <c r="E11" t="inlineStr">
        <is>
          <t>Jacket</t>
        </is>
      </c>
      <c r="F11" t="inlineStr"/>
      <c r="G11" t="inlineStr">
        <is>
          <t>#1</t>
        </is>
      </c>
      <c r="H11" t="inlineStr">
        <is>
          <t>Upcycled</t>
        </is>
      </c>
      <c r="I11" t="n">
        <v>10000</v>
      </c>
      <c r="J11" t="n">
        <v>37373</v>
      </c>
      <c r="K11" t="n">
        <v>1</v>
      </c>
      <c r="M11" t="inlineStr">
        <is>
          <t>Mumbai</t>
        </is>
      </c>
      <c r="N11" t="inlineStr">
        <is>
          <t>Active</t>
        </is>
      </c>
      <c r="O11" t="inlineStr">
        <is>
          <t>Sleevless + Upcycled + Half Embroidery</t>
        </is>
      </c>
      <c r="P11" t="inlineStr">
        <is>
          <t>Regular</t>
        </is>
      </c>
      <c r="Q11" t="inlineStr">
        <is>
          <t>Hand Embroidery</t>
        </is>
      </c>
      <c r="R11" t="inlineStr">
        <is>
          <t>Grey</t>
        </is>
      </c>
    </row>
    <row r="12">
      <c r="A12" t="inlineStr">
        <is>
          <t>HB1UHE-H1</t>
        </is>
      </c>
      <c r="B12" t="inlineStr">
        <is>
          <t>HB1UHE</t>
        </is>
      </c>
      <c r="C12" t="inlineStr">
        <is>
          <t>HB</t>
        </is>
      </c>
      <c r="D12" t="inlineStr">
        <is>
          <t>Handkercheif</t>
        </is>
      </c>
      <c r="E12" t="inlineStr">
        <is>
          <t>Accessory</t>
        </is>
      </c>
      <c r="F12" t="inlineStr">
        <is>
          <t>Free Size</t>
        </is>
      </c>
      <c r="G12" t="inlineStr">
        <is>
          <t>#1</t>
        </is>
      </c>
      <c r="H12" t="inlineStr">
        <is>
          <t>Upcycled</t>
        </is>
      </c>
      <c r="I12" t="n">
        <v>300</v>
      </c>
      <c r="J12" t="n">
        <v>4545</v>
      </c>
      <c r="K12" t="n">
        <v>1</v>
      </c>
      <c r="M12" t="inlineStr">
        <is>
          <t>Mumbai</t>
        </is>
      </c>
      <c r="N12" t="inlineStr">
        <is>
          <t>Active</t>
        </is>
      </c>
      <c r="O12" t="inlineStr">
        <is>
          <t>Upcycled + Full Hand Embroidery</t>
        </is>
      </c>
      <c r="Q12" t="inlineStr">
        <is>
          <t>Hand Embroidery</t>
        </is>
      </c>
      <c r="R12" t="inlineStr">
        <is>
          <t>Black and White</t>
        </is>
      </c>
    </row>
    <row r="13">
      <c r="A13" t="inlineStr">
        <is>
          <t>HB1UHE-H2</t>
        </is>
      </c>
      <c r="B13" t="inlineStr">
        <is>
          <t>HB1UHE</t>
        </is>
      </c>
      <c r="C13" t="inlineStr">
        <is>
          <t>HB</t>
        </is>
      </c>
      <c r="D13" t="inlineStr">
        <is>
          <t>Handkercheif</t>
        </is>
      </c>
      <c r="E13" t="inlineStr">
        <is>
          <t>Accessory</t>
        </is>
      </c>
      <c r="F13" t="inlineStr">
        <is>
          <t>Free Size</t>
        </is>
      </c>
      <c r="G13" t="inlineStr">
        <is>
          <t>#1</t>
        </is>
      </c>
      <c r="H13" t="inlineStr">
        <is>
          <t>Upcycled</t>
        </is>
      </c>
      <c r="I13" t="n">
        <v>250</v>
      </c>
      <c r="J13" t="n">
        <v>3535</v>
      </c>
      <c r="K13" t="n">
        <v>1</v>
      </c>
      <c r="M13" t="inlineStr">
        <is>
          <t>Mumbai</t>
        </is>
      </c>
      <c r="N13" t="inlineStr">
        <is>
          <t>Active</t>
        </is>
      </c>
      <c r="O13" t="inlineStr">
        <is>
          <t>Upcycled + Medium Embroidery + Centre</t>
        </is>
      </c>
      <c r="Q13" t="inlineStr">
        <is>
          <t>Hand Embroidery</t>
        </is>
      </c>
      <c r="R13" t="inlineStr">
        <is>
          <t>White</t>
        </is>
      </c>
    </row>
    <row r="14">
      <c r="A14" t="inlineStr">
        <is>
          <t>HB1UHE-H3</t>
        </is>
      </c>
      <c r="B14" t="inlineStr">
        <is>
          <t>HB1UHE</t>
        </is>
      </c>
      <c r="C14" t="inlineStr">
        <is>
          <t>HB</t>
        </is>
      </c>
      <c r="D14" t="inlineStr">
        <is>
          <t>Handkercheif</t>
        </is>
      </c>
      <c r="E14" t="inlineStr">
        <is>
          <t>Accessory</t>
        </is>
      </c>
      <c r="F14" t="inlineStr">
        <is>
          <t>Free Size</t>
        </is>
      </c>
      <c r="G14" t="inlineStr">
        <is>
          <t>#1</t>
        </is>
      </c>
      <c r="H14" t="inlineStr">
        <is>
          <t>Upcycled</t>
        </is>
      </c>
      <c r="I14" t="n">
        <v>250</v>
      </c>
      <c r="J14" t="n">
        <v>3535</v>
      </c>
      <c r="K14" t="n">
        <v>1</v>
      </c>
      <c r="M14" t="inlineStr">
        <is>
          <t>Mumbai</t>
        </is>
      </c>
      <c r="N14" t="inlineStr">
        <is>
          <t>Active</t>
        </is>
      </c>
      <c r="O14" t="inlineStr">
        <is>
          <t>Upcycled + Medium Embroidery + Boder</t>
        </is>
      </c>
      <c r="Q14" t="inlineStr">
        <is>
          <t>Hand Embroidery</t>
        </is>
      </c>
      <c r="R14" t="inlineStr">
        <is>
          <t>White</t>
        </is>
      </c>
    </row>
    <row r="15">
      <c r="A15" t="inlineStr">
        <is>
          <t>HB1UHE-H4</t>
        </is>
      </c>
      <c r="B15" t="inlineStr">
        <is>
          <t>HB1UHE</t>
        </is>
      </c>
      <c r="C15" t="inlineStr">
        <is>
          <t>HB</t>
        </is>
      </c>
      <c r="D15" t="inlineStr">
        <is>
          <t>Handkercheif</t>
        </is>
      </c>
      <c r="E15" t="inlineStr">
        <is>
          <t>Accessory</t>
        </is>
      </c>
      <c r="F15" t="inlineStr">
        <is>
          <t>Free Size</t>
        </is>
      </c>
      <c r="G15" t="inlineStr">
        <is>
          <t>#1</t>
        </is>
      </c>
      <c r="H15" t="inlineStr">
        <is>
          <t>Upcycled</t>
        </is>
      </c>
      <c r="I15" t="n">
        <v>200</v>
      </c>
      <c r="J15" t="n">
        <v>2002</v>
      </c>
      <c r="K15" t="n">
        <v>1</v>
      </c>
      <c r="M15" t="inlineStr">
        <is>
          <t>Mumbai</t>
        </is>
      </c>
      <c r="N15" t="inlineStr">
        <is>
          <t>Active</t>
        </is>
      </c>
      <c r="O15" t="inlineStr">
        <is>
          <t>Upcycled + Medium Embroidery + Boder</t>
        </is>
      </c>
      <c r="Q15" t="inlineStr">
        <is>
          <t>Hand Embroidery</t>
        </is>
      </c>
      <c r="R15" t="inlineStr">
        <is>
          <t>Yellow</t>
        </is>
      </c>
    </row>
    <row r="16">
      <c r="A16" t="inlineStr">
        <is>
          <t>HB1UP-H5</t>
        </is>
      </c>
      <c r="B16" t="inlineStr">
        <is>
          <t>HB1UP</t>
        </is>
      </c>
      <c r="C16" t="inlineStr">
        <is>
          <t>HB</t>
        </is>
      </c>
      <c r="D16" t="inlineStr">
        <is>
          <t>Handkercheif</t>
        </is>
      </c>
      <c r="E16" t="inlineStr">
        <is>
          <t>Accessory</t>
        </is>
      </c>
      <c r="F16" t="inlineStr">
        <is>
          <t>Free Size</t>
        </is>
      </c>
      <c r="G16" t="inlineStr">
        <is>
          <t>#1</t>
        </is>
      </c>
      <c r="H16" t="inlineStr">
        <is>
          <t>Upcycled</t>
        </is>
      </c>
      <c r="I16" t="n">
        <v>150</v>
      </c>
      <c r="J16" t="n">
        <v>1415</v>
      </c>
      <c r="K16" t="n">
        <v>1</v>
      </c>
      <c r="M16" t="inlineStr">
        <is>
          <t>Mumbai</t>
        </is>
      </c>
      <c r="N16" t="inlineStr">
        <is>
          <t>Active</t>
        </is>
      </c>
      <c r="O16" t="inlineStr">
        <is>
          <t>Upcycled + Medium Embroidery + Boder</t>
        </is>
      </c>
      <c r="Q16" t="inlineStr">
        <is>
          <t>Hand Embroidery</t>
        </is>
      </c>
      <c r="R16" t="inlineStr">
        <is>
          <t>Black and White</t>
        </is>
      </c>
    </row>
    <row r="17">
      <c r="A17" t="inlineStr">
        <is>
          <t>HB1UP-H6</t>
        </is>
      </c>
      <c r="B17" t="inlineStr">
        <is>
          <t>HB1UP</t>
        </is>
      </c>
      <c r="C17" t="inlineStr">
        <is>
          <t>HB</t>
        </is>
      </c>
      <c r="D17" t="inlineStr">
        <is>
          <t>Handkercheif</t>
        </is>
      </c>
      <c r="E17" t="inlineStr">
        <is>
          <t>Accessory</t>
        </is>
      </c>
      <c r="F17" t="inlineStr">
        <is>
          <t>Free Size</t>
        </is>
      </c>
      <c r="G17" t="inlineStr">
        <is>
          <t>#1</t>
        </is>
      </c>
      <c r="H17" t="inlineStr">
        <is>
          <t>Upcycled</t>
        </is>
      </c>
      <c r="I17" t="n">
        <v>150</v>
      </c>
      <c r="J17" t="n">
        <v>1112</v>
      </c>
      <c r="K17" t="n">
        <v>0</v>
      </c>
      <c r="M17" t="inlineStr">
        <is>
          <t>Mumbai</t>
        </is>
      </c>
      <c r="N17" t="inlineStr">
        <is>
          <t>Active</t>
        </is>
      </c>
      <c r="O17" t="inlineStr">
        <is>
          <t>Upcycled + Medium Embroidery + Typography</t>
        </is>
      </c>
      <c r="Q17" t="inlineStr">
        <is>
          <t>Hand Embroidery</t>
        </is>
      </c>
      <c r="R17" t="inlineStr">
        <is>
          <t>Black</t>
        </is>
      </c>
    </row>
    <row r="18">
      <c r="A18" t="inlineStr">
        <is>
          <t>HB1UHE-H7</t>
        </is>
      </c>
      <c r="B18" t="inlineStr">
        <is>
          <t>HB1UHE</t>
        </is>
      </c>
      <c r="C18" t="inlineStr">
        <is>
          <t>HB</t>
        </is>
      </c>
      <c r="D18" t="inlineStr">
        <is>
          <t>Handkercheif</t>
        </is>
      </c>
      <c r="E18" t="inlineStr">
        <is>
          <t>Accessory</t>
        </is>
      </c>
      <c r="F18" t="inlineStr">
        <is>
          <t>Free Size</t>
        </is>
      </c>
      <c r="G18" t="inlineStr">
        <is>
          <t>#1</t>
        </is>
      </c>
      <c r="H18" t="inlineStr">
        <is>
          <t>Upcycled</t>
        </is>
      </c>
      <c r="I18" t="n">
        <v>100</v>
      </c>
      <c r="J18" t="n">
        <v>888</v>
      </c>
      <c r="K18" t="n">
        <v>1</v>
      </c>
      <c r="M18" t="inlineStr">
        <is>
          <t>Mumbai</t>
        </is>
      </c>
      <c r="N18" t="inlineStr">
        <is>
          <t>Active</t>
        </is>
      </c>
      <c r="O18" t="inlineStr">
        <is>
          <t>Upcycled + Print</t>
        </is>
      </c>
      <c r="Q18" t="inlineStr">
        <is>
          <t>Digital print + Hand Embroidery</t>
        </is>
      </c>
    </row>
    <row r="19">
      <c r="A19" t="inlineStr">
        <is>
          <t>HB1UHE-PS1</t>
        </is>
      </c>
      <c r="B19" t="inlineStr">
        <is>
          <t>HB1UHE</t>
        </is>
      </c>
      <c r="C19" t="inlineStr">
        <is>
          <t>HB</t>
        </is>
      </c>
      <c r="D19" t="inlineStr">
        <is>
          <t>Pocket Square</t>
        </is>
      </c>
      <c r="E19" t="inlineStr">
        <is>
          <t>Accessory</t>
        </is>
      </c>
      <c r="F19" t="inlineStr">
        <is>
          <t>Free Size</t>
        </is>
      </c>
      <c r="G19" t="inlineStr">
        <is>
          <t>#1</t>
        </is>
      </c>
      <c r="H19" t="inlineStr">
        <is>
          <t>Upcycled</t>
        </is>
      </c>
      <c r="I19" t="n">
        <v>1000</v>
      </c>
      <c r="J19" t="n">
        <v>4545</v>
      </c>
      <c r="K19" t="n">
        <v>1</v>
      </c>
      <c r="M19" t="inlineStr">
        <is>
          <t>Mumbai</t>
        </is>
      </c>
      <c r="N19" t="inlineStr">
        <is>
          <t>Active</t>
        </is>
      </c>
      <c r="O19" t="inlineStr">
        <is>
          <t>Hand Embroidery</t>
        </is>
      </c>
      <c r="Q19" t="inlineStr">
        <is>
          <t>Hand Embroidery</t>
        </is>
      </c>
    </row>
    <row r="20">
      <c r="A20" t="inlineStr">
        <is>
          <t>HB1UHE-PS2</t>
        </is>
      </c>
      <c r="B20" t="inlineStr">
        <is>
          <t>HB1UHE</t>
        </is>
      </c>
      <c r="C20" t="inlineStr">
        <is>
          <t>HB</t>
        </is>
      </c>
      <c r="D20" t="inlineStr">
        <is>
          <t>Pocket Square</t>
        </is>
      </c>
      <c r="E20" t="inlineStr">
        <is>
          <t>Accessory</t>
        </is>
      </c>
      <c r="F20" t="inlineStr">
        <is>
          <t>Free Size</t>
        </is>
      </c>
      <c r="G20" t="inlineStr">
        <is>
          <t>#1</t>
        </is>
      </c>
      <c r="H20" t="inlineStr">
        <is>
          <t>Upcycled</t>
        </is>
      </c>
      <c r="I20" t="n">
        <v>200</v>
      </c>
      <c r="J20" t="n">
        <v>1212</v>
      </c>
      <c r="K20" t="n">
        <v>1</v>
      </c>
      <c r="M20" t="inlineStr">
        <is>
          <t>Mumbai</t>
        </is>
      </c>
      <c r="N20" t="inlineStr">
        <is>
          <t>Active</t>
        </is>
      </c>
      <c r="O20" t="inlineStr">
        <is>
          <t>Hand Embroidery</t>
        </is>
      </c>
      <c r="Q20" t="inlineStr">
        <is>
          <t>Hand Embroidery</t>
        </is>
      </c>
    </row>
    <row r="21">
      <c r="A21" t="inlineStr">
        <is>
          <t>HB1UHE-PS3</t>
        </is>
      </c>
      <c r="B21" t="inlineStr">
        <is>
          <t>HB1UHE</t>
        </is>
      </c>
      <c r="C21" t="inlineStr">
        <is>
          <t>HB</t>
        </is>
      </c>
      <c r="D21" t="inlineStr">
        <is>
          <t>Pocket Square</t>
        </is>
      </c>
      <c r="E21" t="inlineStr">
        <is>
          <t>Accessory</t>
        </is>
      </c>
      <c r="F21" t="inlineStr">
        <is>
          <t>Free Size</t>
        </is>
      </c>
      <c r="G21" t="inlineStr">
        <is>
          <t>#1</t>
        </is>
      </c>
      <c r="H21" t="inlineStr">
        <is>
          <t>Upcycled</t>
        </is>
      </c>
      <c r="I21" t="n">
        <v>1000</v>
      </c>
      <c r="J21" t="n">
        <v>4545</v>
      </c>
      <c r="K21" t="n">
        <v>1</v>
      </c>
      <c r="M21" t="inlineStr">
        <is>
          <t>Mumbai</t>
        </is>
      </c>
      <c r="N21" t="inlineStr">
        <is>
          <t>Active</t>
        </is>
      </c>
      <c r="O21" t="inlineStr">
        <is>
          <t>Hand Embroidery</t>
        </is>
      </c>
      <c r="Q21" t="inlineStr">
        <is>
          <t>Hand Embroidery</t>
        </is>
      </c>
    </row>
    <row r="22">
      <c r="A22" t="inlineStr">
        <is>
          <t>HB1UHP-BD1</t>
        </is>
      </c>
      <c r="B22" t="inlineStr">
        <is>
          <t>HB1UHP</t>
        </is>
      </c>
      <c r="C22" t="inlineStr">
        <is>
          <t>HB</t>
        </is>
      </c>
      <c r="D22" t="inlineStr">
        <is>
          <t>Badges</t>
        </is>
      </c>
      <c r="E22" t="inlineStr">
        <is>
          <t>Accessory</t>
        </is>
      </c>
      <c r="F22" t="inlineStr">
        <is>
          <t>Free Size</t>
        </is>
      </c>
      <c r="G22" t="inlineStr">
        <is>
          <t>#1</t>
        </is>
      </c>
      <c r="H22" t="inlineStr">
        <is>
          <t>Upcycled</t>
        </is>
      </c>
      <c r="I22" t="n">
        <v>70</v>
      </c>
      <c r="J22" t="n">
        <v>555</v>
      </c>
      <c r="K22" t="n">
        <v>1</v>
      </c>
      <c r="M22" t="inlineStr">
        <is>
          <t>Mumbai</t>
        </is>
      </c>
      <c r="N22" t="inlineStr">
        <is>
          <t>Active</t>
        </is>
      </c>
      <c r="O22" t="inlineStr">
        <is>
          <t>Hand Painting</t>
        </is>
      </c>
      <c r="Q22" t="inlineStr">
        <is>
          <t>Hand Painting</t>
        </is>
      </c>
    </row>
    <row r="23">
      <c r="A23" t="inlineStr">
        <is>
          <t>HB1UHP-BD2</t>
        </is>
      </c>
      <c r="B23" t="inlineStr">
        <is>
          <t>HB1UHP</t>
        </is>
      </c>
      <c r="C23" t="inlineStr">
        <is>
          <t>HB</t>
        </is>
      </c>
      <c r="D23" t="inlineStr">
        <is>
          <t>Badges</t>
        </is>
      </c>
      <c r="E23" t="inlineStr">
        <is>
          <t>Accessory</t>
        </is>
      </c>
      <c r="F23" t="inlineStr">
        <is>
          <t>Free Size</t>
        </is>
      </c>
      <c r="G23" t="inlineStr">
        <is>
          <t>#1</t>
        </is>
      </c>
      <c r="H23" t="inlineStr">
        <is>
          <t>Upcycled</t>
        </is>
      </c>
      <c r="I23" t="n">
        <v>100</v>
      </c>
      <c r="J23" t="n">
        <v>789</v>
      </c>
      <c r="K23" t="n">
        <v>1</v>
      </c>
      <c r="M23" t="inlineStr">
        <is>
          <t>Mumbai</t>
        </is>
      </c>
      <c r="N23" t="inlineStr">
        <is>
          <t>Active</t>
        </is>
      </c>
      <c r="O23" t="inlineStr">
        <is>
          <t>Hand Painting</t>
        </is>
      </c>
      <c r="Q23" t="inlineStr">
        <is>
          <t>Hand Painting</t>
        </is>
      </c>
    </row>
    <row r="24">
      <c r="A24" t="inlineStr">
        <is>
          <t>HB1UHP-BD3</t>
        </is>
      </c>
      <c r="B24" t="inlineStr">
        <is>
          <t>HB1UHP</t>
        </is>
      </c>
      <c r="C24" t="inlineStr">
        <is>
          <t>HB</t>
        </is>
      </c>
      <c r="D24" t="inlineStr">
        <is>
          <t>Badges</t>
        </is>
      </c>
      <c r="E24" t="inlineStr">
        <is>
          <t>Accessory</t>
        </is>
      </c>
      <c r="F24" t="inlineStr">
        <is>
          <t>Free Size</t>
        </is>
      </c>
      <c r="G24" t="inlineStr">
        <is>
          <t>#1</t>
        </is>
      </c>
      <c r="H24" t="inlineStr">
        <is>
          <t>Upcycled</t>
        </is>
      </c>
      <c r="I24" t="n">
        <v>70</v>
      </c>
      <c r="J24" t="n">
        <v>555</v>
      </c>
      <c r="K24" t="n">
        <v>1</v>
      </c>
      <c r="M24" t="inlineStr">
        <is>
          <t>Mumbai</t>
        </is>
      </c>
      <c r="N24" t="inlineStr">
        <is>
          <t>Active</t>
        </is>
      </c>
      <c r="O24" t="inlineStr">
        <is>
          <t>Hand Painting</t>
        </is>
      </c>
      <c r="Q24" t="inlineStr">
        <is>
          <t>Hand Painting</t>
        </is>
      </c>
    </row>
    <row r="25">
      <c r="A25" t="inlineStr">
        <is>
          <t>HB1UHP-BD4</t>
        </is>
      </c>
      <c r="B25" t="inlineStr">
        <is>
          <t>HB1UHP</t>
        </is>
      </c>
      <c r="C25" t="inlineStr">
        <is>
          <t>HB</t>
        </is>
      </c>
      <c r="D25" t="inlineStr">
        <is>
          <t>Badges</t>
        </is>
      </c>
      <c r="E25" t="inlineStr">
        <is>
          <t>Accessory</t>
        </is>
      </c>
      <c r="F25" t="inlineStr">
        <is>
          <t>Free Size</t>
        </is>
      </c>
      <c r="G25" t="inlineStr">
        <is>
          <t>#1</t>
        </is>
      </c>
      <c r="H25" t="inlineStr">
        <is>
          <t>Upcycled</t>
        </is>
      </c>
      <c r="I25" t="n">
        <v>70</v>
      </c>
      <c r="J25" t="n">
        <v>555</v>
      </c>
      <c r="K25" t="n">
        <v>1</v>
      </c>
      <c r="M25" t="inlineStr">
        <is>
          <t>Mumbai</t>
        </is>
      </c>
      <c r="N25" t="inlineStr">
        <is>
          <t>Active</t>
        </is>
      </c>
      <c r="O25" t="inlineStr">
        <is>
          <t>Hand Painting</t>
        </is>
      </c>
      <c r="Q25" t="inlineStr">
        <is>
          <t>Hand Painting</t>
        </is>
      </c>
    </row>
    <row r="26">
      <c r="A26" t="inlineStr">
        <is>
          <t>PS1DP-REF</t>
        </is>
      </c>
      <c r="B26" t="inlineStr">
        <is>
          <t>PS1DP</t>
        </is>
      </c>
      <c r="C26" t="inlineStr">
        <is>
          <t>PS</t>
        </is>
      </c>
      <c r="D26" t="inlineStr">
        <is>
          <t>Shirt 1</t>
        </is>
      </c>
      <c r="E26" t="inlineStr">
        <is>
          <t>Shirt</t>
        </is>
      </c>
      <c r="F26" t="inlineStr">
        <is>
          <t>L</t>
        </is>
      </c>
      <c r="G26" t="inlineStr">
        <is>
          <t>#1</t>
        </is>
      </c>
      <c r="H26" t="inlineStr">
        <is>
          <t>Giza Cotton</t>
        </is>
      </c>
      <c r="I26" t="n">
        <v>1200</v>
      </c>
      <c r="J26" t="n">
        <v>2300</v>
      </c>
      <c r="K26" t="n">
        <v>1</v>
      </c>
      <c r="M26" t="inlineStr">
        <is>
          <t>Mumbai</t>
        </is>
      </c>
      <c r="N26" t="inlineStr">
        <is>
          <t>Active</t>
        </is>
      </c>
      <c r="O26" t="inlineStr">
        <is>
          <t>Half Sleeve + Digital Print One Colour</t>
        </is>
      </c>
      <c r="P26" t="inlineStr">
        <is>
          <t>Relaxed</t>
        </is>
      </c>
      <c r="Q26" t="inlineStr">
        <is>
          <t>Digital Print</t>
        </is>
      </c>
      <c r="R26" t="inlineStr">
        <is>
          <t>Red</t>
        </is>
      </c>
    </row>
    <row r="27">
      <c r="A27" t="inlineStr">
        <is>
          <t>PS1DP-GYF</t>
        </is>
      </c>
      <c r="B27" t="inlineStr">
        <is>
          <t>PS1DP</t>
        </is>
      </c>
      <c r="C27" t="inlineStr">
        <is>
          <t>PS</t>
        </is>
      </c>
      <c r="D27" t="inlineStr">
        <is>
          <t>Shirt 2</t>
        </is>
      </c>
      <c r="E27" t="inlineStr">
        <is>
          <t>Shirt</t>
        </is>
      </c>
      <c r="F27" t="inlineStr">
        <is>
          <t>L</t>
        </is>
      </c>
      <c r="G27" t="inlineStr">
        <is>
          <t>#1</t>
        </is>
      </c>
      <c r="H27" t="inlineStr">
        <is>
          <t>Giza Cotton</t>
        </is>
      </c>
      <c r="I27" t="n">
        <v>1200</v>
      </c>
      <c r="J27" t="n">
        <v>2300</v>
      </c>
      <c r="K27" t="n">
        <v>1</v>
      </c>
      <c r="M27" t="inlineStr">
        <is>
          <t>Mumbai</t>
        </is>
      </c>
      <c r="N27" t="inlineStr">
        <is>
          <t>Active</t>
        </is>
      </c>
      <c r="O27" t="inlineStr">
        <is>
          <t>Half Sleeve + Digital Print One Colour</t>
        </is>
      </c>
      <c r="P27" t="inlineStr">
        <is>
          <t>Relaxed</t>
        </is>
      </c>
      <c r="Q27" t="inlineStr">
        <is>
          <t>Digital Print</t>
        </is>
      </c>
      <c r="R27" t="inlineStr">
        <is>
          <t>Grey</t>
        </is>
      </c>
    </row>
    <row r="28">
      <c r="A28" t="inlineStr">
        <is>
          <t>PS1DP-BWP</t>
        </is>
      </c>
      <c r="B28" t="inlineStr">
        <is>
          <t>PS1DP</t>
        </is>
      </c>
      <c r="C28" t="inlineStr">
        <is>
          <t>PS</t>
        </is>
      </c>
      <c r="D28" t="inlineStr">
        <is>
          <t>Shirt 3</t>
        </is>
      </c>
      <c r="E28" t="inlineStr">
        <is>
          <t>Shirt</t>
        </is>
      </c>
      <c r="F28" t="inlineStr">
        <is>
          <t>L</t>
        </is>
      </c>
      <c r="G28" t="inlineStr">
        <is>
          <t>#1</t>
        </is>
      </c>
      <c r="H28" t="inlineStr">
        <is>
          <t>Giza Cotton</t>
        </is>
      </c>
      <c r="I28" t="n">
        <v>1200</v>
      </c>
      <c r="J28" t="n">
        <v>2300</v>
      </c>
      <c r="K28" t="n">
        <v>1</v>
      </c>
      <c r="M28" t="inlineStr">
        <is>
          <t>Mumbai</t>
        </is>
      </c>
      <c r="N28" t="inlineStr">
        <is>
          <t>Active</t>
        </is>
      </c>
      <c r="O28" t="inlineStr">
        <is>
          <t>Half Sleeve + Digital Print One Colour</t>
        </is>
      </c>
      <c r="P28" t="inlineStr">
        <is>
          <t>Relaxed</t>
        </is>
      </c>
      <c r="Q28" t="inlineStr">
        <is>
          <t>Digital Print</t>
        </is>
      </c>
      <c r="R28" t="inlineStr">
        <is>
          <t>Black and White</t>
        </is>
      </c>
    </row>
    <row r="29">
      <c r="A29" t="inlineStr">
        <is>
          <t>PS1DP-LCC</t>
        </is>
      </c>
      <c r="B29" t="inlineStr">
        <is>
          <t>PS1DP</t>
        </is>
      </c>
      <c r="C29" t="inlineStr">
        <is>
          <t>PS</t>
        </is>
      </c>
      <c r="D29" t="inlineStr">
        <is>
          <t>Shirt 4</t>
        </is>
      </c>
      <c r="E29" t="inlineStr">
        <is>
          <t>Shirt</t>
        </is>
      </c>
      <c r="F29" t="inlineStr">
        <is>
          <t>L</t>
        </is>
      </c>
      <c r="G29" t="inlineStr">
        <is>
          <t>#1</t>
        </is>
      </c>
      <c r="H29" t="inlineStr">
        <is>
          <t>Giza Cotton</t>
        </is>
      </c>
      <c r="I29" t="n">
        <v>1200</v>
      </c>
      <c r="J29" t="n">
        <v>2300</v>
      </c>
      <c r="K29" t="n">
        <v>1</v>
      </c>
      <c r="M29" t="inlineStr">
        <is>
          <t>Mumbai</t>
        </is>
      </c>
      <c r="N29" t="inlineStr">
        <is>
          <t>Active</t>
        </is>
      </c>
      <c r="O29" t="inlineStr">
        <is>
          <t>Half Sleeve + Digital Print One Colour</t>
        </is>
      </c>
      <c r="P29" t="inlineStr">
        <is>
          <t>Relaxed</t>
        </is>
      </c>
      <c r="Q29" t="inlineStr">
        <is>
          <t>Digital Print</t>
        </is>
      </c>
    </row>
    <row r="30">
      <c r="A30" t="inlineStr">
        <is>
          <t>PS1DP-BLM</t>
        </is>
      </c>
      <c r="B30" t="inlineStr">
        <is>
          <t>PS1DP</t>
        </is>
      </c>
      <c r="C30" t="inlineStr">
        <is>
          <t>PS</t>
        </is>
      </c>
      <c r="D30" t="inlineStr">
        <is>
          <t>Shirt 5</t>
        </is>
      </c>
      <c r="E30" t="inlineStr">
        <is>
          <t>Shirt</t>
        </is>
      </c>
      <c r="F30" t="inlineStr">
        <is>
          <t>L</t>
        </is>
      </c>
      <c r="G30" t="inlineStr">
        <is>
          <t>#1</t>
        </is>
      </c>
      <c r="H30" t="inlineStr">
        <is>
          <t>Giza Cotton</t>
        </is>
      </c>
      <c r="I30" t="n">
        <v>1200</v>
      </c>
      <c r="J30" t="n">
        <v>2300</v>
      </c>
      <c r="K30" t="n">
        <v>1</v>
      </c>
      <c r="M30" t="inlineStr">
        <is>
          <t>Mumbai</t>
        </is>
      </c>
      <c r="N30" t="inlineStr">
        <is>
          <t>Active</t>
        </is>
      </c>
      <c r="O30" t="inlineStr">
        <is>
          <t>Half Sleeve + Digital Print One Colour</t>
        </is>
      </c>
      <c r="P30" t="inlineStr">
        <is>
          <t>Relaxed</t>
        </is>
      </c>
      <c r="Q30" t="inlineStr">
        <is>
          <t>Digital Print</t>
        </is>
      </c>
    </row>
    <row r="31">
      <c r="A31" t="inlineStr">
        <is>
          <t>PS1DP-TPS</t>
        </is>
      </c>
      <c r="B31" t="inlineStr">
        <is>
          <t>PS1DP</t>
        </is>
      </c>
      <c r="C31" t="inlineStr">
        <is>
          <t>PS</t>
        </is>
      </c>
      <c r="D31" t="inlineStr">
        <is>
          <t>Shirt 6</t>
        </is>
      </c>
      <c r="E31" t="inlineStr">
        <is>
          <t>Shirt</t>
        </is>
      </c>
      <c r="F31" t="inlineStr">
        <is>
          <t>L</t>
        </is>
      </c>
      <c r="G31" t="inlineStr">
        <is>
          <t>#1</t>
        </is>
      </c>
      <c r="H31" t="inlineStr">
        <is>
          <t>Giza Cotton</t>
        </is>
      </c>
      <c r="I31" t="n">
        <v>1200</v>
      </c>
      <c r="J31" t="n">
        <v>2300</v>
      </c>
      <c r="K31" t="n">
        <v>1</v>
      </c>
      <c r="M31" t="inlineStr">
        <is>
          <t>Mumbai</t>
        </is>
      </c>
      <c r="N31" t="inlineStr">
        <is>
          <t>Active</t>
        </is>
      </c>
      <c r="O31" t="inlineStr">
        <is>
          <t>Half Sleeve + Digital Print One Colour</t>
        </is>
      </c>
      <c r="P31" t="inlineStr">
        <is>
          <t>Relaxed</t>
        </is>
      </c>
      <c r="Q31" t="inlineStr">
        <is>
          <t>Digital Print</t>
        </is>
      </c>
    </row>
  </sheetData>
  <dataValidations count="2">
    <dataValidation sqref="F2:F80" showDropDown="0" showInputMessage="0" showErrorMessage="0" allowBlank="1" type="list">
      <formula1>"XS,S,M,L,XL,XXL,Free Size,Custom"</formula1>
    </dataValidation>
    <dataValidation sqref="N2:N80" showDropDown="0" showInputMessage="0" showErrorMessage="0" allowBlank="1" type="list">
      <formula1>"Active,Sample,Made to order,Discontinued,Sold-out"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5" customWidth="1" min="4" max="4"/>
    <col width="11" customWidth="1" min="5" max="5"/>
    <col width="11" customWidth="1" min="6" max="6"/>
    <col width="11" customWidth="1" min="7" max="7"/>
    <col width="13" customWidth="1" min="8" max="8"/>
    <col width="12" customWidth="1" min="9" max="9"/>
    <col width="11" customWidth="1" min="10" max="10"/>
    <col width="12" customWidth="1" min="11" max="11"/>
    <col width="13" customWidth="1" min="12" max="12"/>
    <col width="18" customWidth="1" min="13" max="13"/>
    <col width="16" customWidth="1" min="14" max="14"/>
    <col width="16" customWidth="1" min="15" max="15"/>
    <col width="14" customWidth="1" min="16" max="16"/>
    <col width="15" customWidth="1" min="17" max="17"/>
  </cols>
  <sheetData>
    <row r="1">
      <c r="A1" s="1" t="inlineStr">
        <is>
          <t>date</t>
        </is>
      </c>
      <c r="B1" s="1" t="inlineStr">
        <is>
          <t>brand_id</t>
        </is>
      </c>
      <c r="C1" s="1" t="inlineStr">
        <is>
          <t>sku</t>
        </is>
      </c>
      <c r="D1" s="1" t="inlineStr">
        <is>
          <t>style_family</t>
        </is>
      </c>
      <c r="E1" s="1" t="inlineStr">
        <is>
          <t>channel</t>
        </is>
      </c>
      <c r="F1" s="1" t="inlineStr">
        <is>
          <t>category</t>
        </is>
      </c>
      <c r="G1" s="1" t="inlineStr">
        <is>
          <t>size</t>
        </is>
      </c>
      <c r="H1" s="1" t="inlineStr">
        <is>
          <t>collection</t>
        </is>
      </c>
      <c r="I1" s="1" t="inlineStr">
        <is>
          <t>geography</t>
        </is>
      </c>
      <c r="J1" s="1" t="inlineStr">
        <is>
          <t>revenue</t>
        </is>
      </c>
      <c r="K1" s="1" t="inlineStr">
        <is>
          <t>unit_cost</t>
        </is>
      </c>
      <c r="L1" s="1" t="inlineStr">
        <is>
          <t>units_sold</t>
        </is>
      </c>
      <c r="M1" s="1" t="inlineStr">
        <is>
          <t>discount_amount</t>
        </is>
      </c>
      <c r="N1" s="1" t="inlineStr">
        <is>
          <t>returns_units</t>
        </is>
      </c>
      <c r="O1" s="1" t="inlineStr">
        <is>
          <t>returns_value</t>
        </is>
      </c>
      <c r="P1" s="1" t="inlineStr">
        <is>
          <t>customer_id</t>
        </is>
      </c>
      <c r="Q1" s="1" t="inlineStr">
        <is>
          <t>Product_name</t>
        </is>
      </c>
    </row>
    <row r="2">
      <c r="A2" t="inlineStr">
        <is>
          <t>20/06/2026</t>
        </is>
      </c>
      <c r="B2" t="inlineStr">
        <is>
          <t>HB</t>
        </is>
      </c>
      <c r="C2" t="inlineStr">
        <is>
          <t>HB1PHE-CP</t>
        </is>
      </c>
      <c r="D2" t="inlineStr">
        <is>
          <t>HB1PHE</t>
        </is>
      </c>
      <c r="E2" t="inlineStr">
        <is>
          <t>Retail</t>
        </is>
      </c>
      <c r="F2" t="inlineStr">
        <is>
          <t>Shirt</t>
        </is>
      </c>
      <c r="G2" t="inlineStr">
        <is>
          <t>XS</t>
        </is>
      </c>
      <c r="H2" t="n">
        <v>1</v>
      </c>
      <c r="I2" t="inlineStr">
        <is>
          <t>Mumbai</t>
        </is>
      </c>
      <c r="J2" t="n">
        <v>8000</v>
      </c>
      <c r="L2" t="n">
        <v>1</v>
      </c>
      <c r="M2" t="n">
        <v>4000</v>
      </c>
      <c r="N2" t="n">
        <v>0</v>
      </c>
      <c r="O2" t="n">
        <v>0</v>
      </c>
      <c r="P2" t="inlineStr">
        <is>
          <t>HB002</t>
        </is>
      </c>
      <c r="Q2" t="inlineStr">
        <is>
          <t>Compliments</t>
        </is>
      </c>
    </row>
    <row r="3">
      <c r="A3" t="inlineStr">
        <is>
          <t>17/07/2026</t>
        </is>
      </c>
      <c r="B3" t="inlineStr">
        <is>
          <t>HB</t>
        </is>
      </c>
      <c r="C3" t="inlineStr">
        <is>
          <t>HB1HE-HH</t>
        </is>
      </c>
      <c r="D3" t="inlineStr">
        <is>
          <t>HB1HE</t>
        </is>
      </c>
      <c r="E3" t="inlineStr">
        <is>
          <t>Retail</t>
        </is>
      </c>
      <c r="F3" t="inlineStr">
        <is>
          <t>Shirt</t>
        </is>
      </c>
      <c r="G3" t="inlineStr">
        <is>
          <t>L</t>
        </is>
      </c>
      <c r="H3" t="n">
        <v>1</v>
      </c>
      <c r="I3" t="inlineStr">
        <is>
          <t>Mumbai</t>
        </is>
      </c>
      <c r="J3" t="n">
        <v>10000</v>
      </c>
      <c r="L3" t="n">
        <v>1</v>
      </c>
      <c r="M3" t="n">
        <v>100</v>
      </c>
      <c r="N3" t="n">
        <v>0</v>
      </c>
      <c r="O3" t="n">
        <v>0</v>
      </c>
      <c r="P3" t="inlineStr">
        <is>
          <t>HB001</t>
        </is>
      </c>
      <c r="Q3" t="inlineStr">
        <is>
          <t>Harm the harmonium</t>
        </is>
      </c>
    </row>
    <row r="4">
      <c r="A4" t="inlineStr">
        <is>
          <t>20/06/2026</t>
        </is>
      </c>
      <c r="B4" t="inlineStr">
        <is>
          <t>HB</t>
        </is>
      </c>
      <c r="C4" t="inlineStr">
        <is>
          <t>HB1UHE-H7</t>
        </is>
      </c>
      <c r="D4" t="inlineStr">
        <is>
          <t>HB1UHE</t>
        </is>
      </c>
      <c r="E4" t="inlineStr">
        <is>
          <t>Retail</t>
        </is>
      </c>
      <c r="F4" t="inlineStr">
        <is>
          <t>Handkerchief</t>
        </is>
      </c>
      <c r="G4" t="inlineStr">
        <is>
          <t>Free Size</t>
        </is>
      </c>
      <c r="H4" t="n">
        <v>1</v>
      </c>
      <c r="I4" t="inlineStr">
        <is>
          <t>Mumbai</t>
        </is>
      </c>
      <c r="L4" t="n">
        <v>1</v>
      </c>
      <c r="Q4" t="inlineStr">
        <is>
          <t>Black with face in the centre</t>
        </is>
      </c>
    </row>
    <row r="5">
      <c r="A5" t="inlineStr">
        <is>
          <t>17/07/2026</t>
        </is>
      </c>
      <c r="B5" t="inlineStr">
        <is>
          <t>HB</t>
        </is>
      </c>
      <c r="C5" t="inlineStr">
        <is>
          <t>HB1UHE-H7</t>
        </is>
      </c>
      <c r="D5" t="inlineStr">
        <is>
          <t>HB1UHE</t>
        </is>
      </c>
      <c r="E5" t="inlineStr">
        <is>
          <t>Retail</t>
        </is>
      </c>
      <c r="F5" t="inlineStr">
        <is>
          <t>Handkerchief</t>
        </is>
      </c>
      <c r="G5" t="inlineStr">
        <is>
          <t>Free Size</t>
        </is>
      </c>
      <c r="H5" t="n">
        <v>1</v>
      </c>
      <c r="I5" t="inlineStr">
        <is>
          <t>Mumbai</t>
        </is>
      </c>
      <c r="L5" t="n">
        <v>1</v>
      </c>
      <c r="Q5" t="inlineStr">
        <is>
          <t>TBC</t>
        </is>
      </c>
    </row>
  </sheetData>
  <dataValidations count="2">
    <dataValidation sqref="G2:G80" showDropDown="0" showInputMessage="0" showErrorMessage="0" allowBlank="1" type="list">
      <formula1>"XS,S,M,L,XL,XXL,Free Size,Custom"</formula1>
    </dataValidation>
    <dataValidation sqref="D2:D80" showDropDown="0" showInputMessage="0" showErrorMessage="0" allowBlank="1" type="list">
      <formula1>"HB1DP,HB1HE,HB1JAHE,HB1PHE,HB1UHE,HB1UHP,HB1UP,HBIHP,PS1DP"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3" customWidth="1" min="4" max="4"/>
    <col width="13" customWidth="1" min="5" max="5"/>
    <col width="12" customWidth="1" min="6" max="6"/>
    <col width="11" customWidth="1" min="7" max="7"/>
    <col width="13" customWidth="1" min="8" max="8"/>
    <col width="15" customWidth="1" min="9" max="9"/>
    <col width="11" customWidth="1" min="10" max="10"/>
    <col width="11" customWidth="1" min="11" max="11"/>
  </cols>
  <sheetData>
    <row r="1">
      <c r="A1" s="1" t="inlineStr">
        <is>
          <t>date</t>
        </is>
      </c>
      <c r="B1" s="1" t="inlineStr">
        <is>
          <t>brand_id</t>
        </is>
      </c>
      <c r="C1" s="1" t="inlineStr">
        <is>
          <t>cost_function</t>
        </is>
      </c>
      <c r="D1" s="1" t="inlineStr">
        <is>
          <t>cost_stage</t>
        </is>
      </c>
      <c r="E1" s="1" t="inlineStr">
        <is>
          <t>department</t>
        </is>
      </c>
      <c r="F1" s="1" t="inlineStr">
        <is>
          <t>line_item</t>
        </is>
      </c>
      <c r="G1" s="1" t="inlineStr">
        <is>
          <t>amount</t>
        </is>
      </c>
      <c r="H1" s="1" t="inlineStr">
        <is>
          <t>gst_amount</t>
        </is>
      </c>
      <c r="I1" s="1" t="inlineStr">
        <is>
          <t>style_family</t>
        </is>
      </c>
      <c r="J1" s="1" t="inlineStr">
        <is>
          <t>vendor</t>
        </is>
      </c>
      <c r="K1" s="1" t="inlineStr">
        <is>
          <t>paid</t>
        </is>
      </c>
    </row>
    <row r="2">
      <c r="A2" t="inlineStr">
        <is>
          <t>04/01/2026</t>
        </is>
      </c>
      <c r="B2" t="inlineStr">
        <is>
          <t>HB</t>
        </is>
      </c>
      <c r="C2" t="inlineStr">
        <is>
          <t>Product</t>
        </is>
      </c>
      <c r="D2" t="inlineStr">
        <is>
          <t>Experiment</t>
        </is>
      </c>
      <c r="E2" t="inlineStr">
        <is>
          <t>Product Design</t>
        </is>
      </c>
      <c r="F2" t="inlineStr">
        <is>
          <t>Jacquard fabric paints</t>
        </is>
      </c>
      <c r="G2" t="n">
        <v>3400</v>
      </c>
      <c r="I2" t="inlineStr">
        <is>
          <t>HBIHP</t>
        </is>
      </c>
      <c r="K2" t="inlineStr">
        <is>
          <t>yes</t>
        </is>
      </c>
    </row>
    <row r="3">
      <c r="A3" t="inlineStr">
        <is>
          <t>04/01/2026</t>
        </is>
      </c>
      <c r="B3" t="inlineStr">
        <is>
          <t>HB</t>
        </is>
      </c>
      <c r="C3" t="inlineStr">
        <is>
          <t>Product</t>
        </is>
      </c>
      <c r="D3" t="inlineStr">
        <is>
          <t>Final Production</t>
        </is>
      </c>
      <c r="E3" t="inlineStr">
        <is>
          <t>Product Procurement</t>
        </is>
      </c>
      <c r="F3" t="inlineStr">
        <is>
          <t>10 meters Bamboo Fabric</t>
        </is>
      </c>
      <c r="G3" t="n">
        <v>6300</v>
      </c>
      <c r="I3" t="inlineStr">
        <is>
          <t>HB1HE</t>
        </is>
      </c>
      <c r="K3" t="inlineStr">
        <is>
          <t>yes</t>
        </is>
      </c>
    </row>
    <row r="4">
      <c r="A4" t="inlineStr">
        <is>
          <t>04/01/2026</t>
        </is>
      </c>
      <c r="B4" t="inlineStr">
        <is>
          <t>HB</t>
        </is>
      </c>
      <c r="C4" t="inlineStr">
        <is>
          <t>Product</t>
        </is>
      </c>
      <c r="D4" t="inlineStr">
        <is>
          <t>Final Production</t>
        </is>
      </c>
      <c r="E4" t="inlineStr">
        <is>
          <t>Product Design</t>
        </is>
      </c>
      <c r="F4" t="inlineStr">
        <is>
          <t>Printing</t>
        </is>
      </c>
      <c r="G4" t="n">
        <v>1400</v>
      </c>
      <c r="I4" t="inlineStr">
        <is>
          <t>HB1DP</t>
        </is>
      </c>
      <c r="K4" t="inlineStr">
        <is>
          <t>yes</t>
        </is>
      </c>
    </row>
    <row r="5">
      <c r="A5" t="inlineStr">
        <is>
          <t>04/01/2026</t>
        </is>
      </c>
      <c r="B5" t="inlineStr">
        <is>
          <t>HB</t>
        </is>
      </c>
      <c r="C5" t="inlineStr">
        <is>
          <t>Product</t>
        </is>
      </c>
      <c r="D5" t="inlineStr">
        <is>
          <t>Final Production</t>
        </is>
      </c>
      <c r="E5" t="inlineStr">
        <is>
          <t>Product Design</t>
        </is>
      </c>
      <c r="F5" t="inlineStr">
        <is>
          <t>material for cutout sizing</t>
        </is>
      </c>
      <c r="G5" t="n">
        <v>1000</v>
      </c>
      <c r="I5" t="inlineStr">
        <is>
          <t>HB1UHE</t>
        </is>
      </c>
      <c r="K5" t="inlineStr">
        <is>
          <t>yes</t>
        </is>
      </c>
    </row>
    <row r="6">
      <c r="A6" t="inlineStr">
        <is>
          <t>04/01/2026</t>
        </is>
      </c>
      <c r="B6" t="inlineStr">
        <is>
          <t>HB</t>
        </is>
      </c>
      <c r="C6" t="inlineStr">
        <is>
          <t>Product</t>
        </is>
      </c>
      <c r="D6" t="inlineStr">
        <is>
          <t>Final Production</t>
        </is>
      </c>
      <c r="E6" t="inlineStr">
        <is>
          <t>Product Procurement</t>
        </is>
      </c>
      <c r="F6" t="inlineStr">
        <is>
          <t>Upcycled fabrics</t>
        </is>
      </c>
      <c r="G6" t="n">
        <v>1500</v>
      </c>
      <c r="I6" t="inlineStr">
        <is>
          <t>HB1UP</t>
        </is>
      </c>
      <c r="K6" t="inlineStr">
        <is>
          <t>yes</t>
        </is>
      </c>
    </row>
    <row r="7">
      <c r="A7" t="inlineStr">
        <is>
          <t>04/01/2026</t>
        </is>
      </c>
      <c r="B7" t="inlineStr">
        <is>
          <t>HB</t>
        </is>
      </c>
      <c r="C7" t="inlineStr">
        <is>
          <t>Product</t>
        </is>
      </c>
      <c r="D7" t="inlineStr">
        <is>
          <t>Final Production</t>
        </is>
      </c>
      <c r="E7" t="inlineStr">
        <is>
          <t>Product Procurement</t>
        </is>
      </c>
      <c r="F7" t="inlineStr">
        <is>
          <t>15 meters Bamboo Fabric</t>
        </is>
      </c>
      <c r="G7" t="n">
        <v>8100</v>
      </c>
      <c r="I7" t="inlineStr">
        <is>
          <t>HB1HE</t>
        </is>
      </c>
      <c r="K7" t="inlineStr">
        <is>
          <t>yes</t>
        </is>
      </c>
    </row>
    <row r="8">
      <c r="A8" t="inlineStr">
        <is>
          <t>04/01/2026</t>
        </is>
      </c>
      <c r="B8" t="inlineStr">
        <is>
          <t>HB</t>
        </is>
      </c>
      <c r="C8" t="inlineStr">
        <is>
          <t>Product</t>
        </is>
      </c>
      <c r="D8" t="inlineStr">
        <is>
          <t>Final Production</t>
        </is>
      </c>
      <c r="E8" t="inlineStr">
        <is>
          <t>Product Design</t>
        </is>
      </c>
      <c r="F8" t="inlineStr">
        <is>
          <t>Threads</t>
        </is>
      </c>
      <c r="G8" t="n">
        <v>1000</v>
      </c>
      <c r="I8" t="inlineStr">
        <is>
          <t>HB1HE</t>
        </is>
      </c>
      <c r="K8" t="inlineStr">
        <is>
          <t>yes</t>
        </is>
      </c>
    </row>
    <row r="9">
      <c r="A9" t="inlineStr">
        <is>
          <t>04/01/2026</t>
        </is>
      </c>
      <c r="B9" t="inlineStr">
        <is>
          <t>HB</t>
        </is>
      </c>
      <c r="C9" t="inlineStr">
        <is>
          <t>Product</t>
        </is>
      </c>
      <c r="D9" t="inlineStr">
        <is>
          <t>Experiment</t>
        </is>
      </c>
      <c r="E9" t="inlineStr">
        <is>
          <t>Product Design</t>
        </is>
      </c>
      <c r="F9" t="inlineStr">
        <is>
          <t>linocut material</t>
        </is>
      </c>
      <c r="G9" t="n">
        <v>3000</v>
      </c>
      <c r="I9" t="inlineStr">
        <is>
          <t>HB1DP</t>
        </is>
      </c>
      <c r="K9" t="inlineStr">
        <is>
          <t>yes</t>
        </is>
      </c>
    </row>
    <row r="10">
      <c r="A10" t="inlineStr">
        <is>
          <t>04/01/2026</t>
        </is>
      </c>
      <c r="B10" t="inlineStr">
        <is>
          <t>HB</t>
        </is>
      </c>
      <c r="C10" t="inlineStr">
        <is>
          <t>Product</t>
        </is>
      </c>
      <c r="D10" t="inlineStr">
        <is>
          <t>Final Production</t>
        </is>
      </c>
      <c r="E10" t="inlineStr">
        <is>
          <t>Product Design</t>
        </is>
      </c>
      <c r="F10" t="inlineStr">
        <is>
          <t>Printing</t>
        </is>
      </c>
      <c r="G10" t="n">
        <v>4000</v>
      </c>
      <c r="I10" t="inlineStr">
        <is>
          <t>HB1DP</t>
        </is>
      </c>
      <c r="K10" t="inlineStr">
        <is>
          <t>yes</t>
        </is>
      </c>
    </row>
    <row r="11">
      <c r="A11" t="inlineStr">
        <is>
          <t>04/01/2026</t>
        </is>
      </c>
      <c r="B11" t="inlineStr">
        <is>
          <t>HB</t>
        </is>
      </c>
      <c r="C11" t="inlineStr">
        <is>
          <t>Product</t>
        </is>
      </c>
      <c r="D11" t="inlineStr">
        <is>
          <t>Final Production</t>
        </is>
      </c>
      <c r="E11" t="inlineStr">
        <is>
          <t>Product Design</t>
        </is>
      </c>
      <c r="F11" t="inlineStr">
        <is>
          <t xml:space="preserve">Bamboo fabric &lt;meters confirm&gt; </t>
        </is>
      </c>
      <c r="G11" t="n">
        <v>3000</v>
      </c>
      <c r="I11" t="inlineStr">
        <is>
          <t>HB1HE</t>
        </is>
      </c>
      <c r="K11" t="inlineStr">
        <is>
          <t>yes</t>
        </is>
      </c>
    </row>
    <row r="12">
      <c r="A12" t="inlineStr">
        <is>
          <t>04/01/2026</t>
        </is>
      </c>
      <c r="B12" t="inlineStr">
        <is>
          <t>HB</t>
        </is>
      </c>
      <c r="C12" t="inlineStr">
        <is>
          <t>Marketing</t>
        </is>
      </c>
      <c r="D12" t="inlineStr">
        <is>
          <t>Final Production</t>
        </is>
      </c>
      <c r="E12" t="inlineStr">
        <is>
          <t xml:space="preserve">Digital </t>
        </is>
      </c>
      <c r="F12" t="inlineStr">
        <is>
          <t>Hullabalooo website - One Time</t>
        </is>
      </c>
      <c r="G12" t="n">
        <v>46000</v>
      </c>
      <c r="K12" t="inlineStr">
        <is>
          <t>pending</t>
        </is>
      </c>
    </row>
    <row r="13">
      <c r="A13" t="inlineStr">
        <is>
          <t>04/01/2026</t>
        </is>
      </c>
      <c r="B13" t="inlineStr">
        <is>
          <t>GB</t>
        </is>
      </c>
      <c r="C13" t="inlineStr">
        <is>
          <t>Product</t>
        </is>
      </c>
      <c r="D13" t="inlineStr">
        <is>
          <t>Final Production</t>
        </is>
      </c>
      <c r="E13" t="inlineStr">
        <is>
          <t>Product Design</t>
        </is>
      </c>
      <c r="F13" t="inlineStr">
        <is>
          <t>jaipur sample (bapu bazar) - Linen</t>
        </is>
      </c>
      <c r="G13" t="n">
        <v>9000</v>
      </c>
      <c r="I13" t="inlineStr">
        <is>
          <t>HB1HE</t>
        </is>
      </c>
      <c r="J13" t="inlineStr">
        <is>
          <t>Jaipur -Baapu Baazar</t>
        </is>
      </c>
      <c r="K13" t="inlineStr">
        <is>
          <t>yes</t>
        </is>
      </c>
    </row>
    <row r="14">
      <c r="A14" t="inlineStr">
        <is>
          <t>04/01/2026</t>
        </is>
      </c>
      <c r="B14" t="inlineStr">
        <is>
          <t>HB</t>
        </is>
      </c>
      <c r="C14" t="inlineStr">
        <is>
          <t>Product</t>
        </is>
      </c>
      <c r="D14" t="inlineStr">
        <is>
          <t>Final Production</t>
        </is>
      </c>
      <c r="E14" t="inlineStr">
        <is>
          <t>Product Design</t>
        </is>
      </c>
      <c r="F14" t="inlineStr">
        <is>
          <t>jaipur sample (fabriclore)big office</t>
        </is>
      </c>
      <c r="G14" t="n">
        <v>3245</v>
      </c>
      <c r="I14" t="inlineStr">
        <is>
          <t>HB1HE</t>
        </is>
      </c>
      <c r="J14" t="inlineStr">
        <is>
          <t>Fabriclore</t>
        </is>
      </c>
      <c r="K14" t="inlineStr">
        <is>
          <t>yes</t>
        </is>
      </c>
    </row>
    <row r="15">
      <c r="A15" t="inlineStr">
        <is>
          <t>04/01/2026</t>
        </is>
      </c>
      <c r="B15" t="inlineStr">
        <is>
          <t>HB</t>
        </is>
      </c>
      <c r="C15" t="inlineStr">
        <is>
          <t>Product</t>
        </is>
      </c>
      <c r="D15" t="inlineStr">
        <is>
          <t>Final Production</t>
        </is>
      </c>
      <c r="E15" t="inlineStr">
        <is>
          <t>Product Design</t>
        </is>
      </c>
      <c r="F15" t="inlineStr">
        <is>
          <t>Printing</t>
        </is>
      </c>
      <c r="G15" t="n">
        <v>4000</v>
      </c>
      <c r="I15" t="inlineStr">
        <is>
          <t>HB1PHE</t>
        </is>
      </c>
      <c r="K15" t="inlineStr">
        <is>
          <t>yes</t>
        </is>
      </c>
    </row>
    <row r="16">
      <c r="A16" t="inlineStr">
        <is>
          <t>06/01/2026</t>
        </is>
      </c>
      <c r="B16" t="inlineStr">
        <is>
          <t>HB</t>
        </is>
      </c>
      <c r="C16" t="inlineStr">
        <is>
          <t>Product</t>
        </is>
      </c>
      <c r="D16" t="inlineStr">
        <is>
          <t>Final Production</t>
        </is>
      </c>
      <c r="E16" t="inlineStr">
        <is>
          <t>Product Design</t>
        </is>
      </c>
      <c r="F16" t="inlineStr">
        <is>
          <t>Stitching for collection</t>
        </is>
      </c>
      <c r="G16" t="n">
        <v>1800</v>
      </c>
      <c r="I16" t="inlineStr">
        <is>
          <t>HB1HE</t>
        </is>
      </c>
      <c r="K16" t="inlineStr">
        <is>
          <t>yes</t>
        </is>
      </c>
    </row>
    <row r="17">
      <c r="A17" t="inlineStr">
        <is>
          <t>06/01/2026</t>
        </is>
      </c>
      <c r="B17" t="inlineStr">
        <is>
          <t>HB</t>
        </is>
      </c>
      <c r="C17" t="inlineStr">
        <is>
          <t>Marketing</t>
        </is>
      </c>
      <c r="D17" t="inlineStr">
        <is>
          <t>Final Production</t>
        </is>
      </c>
      <c r="E17" t="inlineStr">
        <is>
          <t xml:space="preserve">Media Production </t>
        </is>
      </c>
      <c r="F17" t="inlineStr">
        <is>
          <t>1st Collection Shoot - Product shoot without Model</t>
        </is>
      </c>
      <c r="G17" t="n">
        <v>10500</v>
      </c>
    </row>
    <row r="18">
      <c r="A18" t="inlineStr">
        <is>
          <t>06/01/2026</t>
        </is>
      </c>
      <c r="B18" t="inlineStr">
        <is>
          <t>HB</t>
        </is>
      </c>
      <c r="C18" t="inlineStr">
        <is>
          <t>Marketing</t>
        </is>
      </c>
      <c r="D18" t="inlineStr">
        <is>
          <t>Final Production</t>
        </is>
      </c>
      <c r="E18" t="inlineStr">
        <is>
          <t xml:space="preserve">Media Production </t>
        </is>
      </c>
      <c r="F18" t="inlineStr">
        <is>
          <t>1st Collection Shoot - Petrol</t>
        </is>
      </c>
      <c r="G18" t="n">
        <v>5000</v>
      </c>
    </row>
    <row r="19">
      <c r="A19" t="inlineStr">
        <is>
          <t>06/01/2026</t>
        </is>
      </c>
      <c r="B19" t="inlineStr">
        <is>
          <t>HB</t>
        </is>
      </c>
      <c r="C19" t="inlineStr">
        <is>
          <t>Marketing</t>
        </is>
      </c>
      <c r="D19" t="inlineStr">
        <is>
          <t>Final Production</t>
        </is>
      </c>
      <c r="E19" t="inlineStr">
        <is>
          <t xml:space="preserve">Media Production </t>
        </is>
      </c>
      <c r="F19" t="inlineStr">
        <is>
          <t>1st Collection Shoot - Food</t>
        </is>
      </c>
      <c r="G19" t="n">
        <v>8000</v>
      </c>
    </row>
    <row r="20">
      <c r="A20" t="inlineStr">
        <is>
          <t>06/01/2026</t>
        </is>
      </c>
      <c r="B20" t="inlineStr">
        <is>
          <t>HB</t>
        </is>
      </c>
      <c r="C20" t="inlineStr">
        <is>
          <t>Marketing</t>
        </is>
      </c>
      <c r="D20" t="inlineStr">
        <is>
          <t>Final Production</t>
        </is>
      </c>
      <c r="E20" t="inlineStr">
        <is>
          <t xml:space="preserve">Media Production </t>
        </is>
      </c>
      <c r="F20" t="inlineStr">
        <is>
          <t>1st Collection Shoot - Stay</t>
        </is>
      </c>
      <c r="G20" t="n">
        <v>3000</v>
      </c>
    </row>
    <row r="21">
      <c r="A21" t="inlineStr">
        <is>
          <t>06/01/2026</t>
        </is>
      </c>
      <c r="B21" t="inlineStr">
        <is>
          <t>HB</t>
        </is>
      </c>
      <c r="C21" t="inlineStr">
        <is>
          <t>Marketing</t>
        </is>
      </c>
      <c r="D21" t="inlineStr">
        <is>
          <t>Final Production</t>
        </is>
      </c>
      <c r="E21" t="inlineStr">
        <is>
          <t xml:space="preserve">Media Production </t>
        </is>
      </c>
      <c r="F21" t="inlineStr">
        <is>
          <t>1st Collection Shoot - Equipment | Camera, Lights and Production of films</t>
        </is>
      </c>
      <c r="G21" t="n">
        <v>15000</v>
      </c>
    </row>
    <row r="22">
      <c r="A22" t="inlineStr">
        <is>
          <t>06/01/2026</t>
        </is>
      </c>
      <c r="B22" t="inlineStr">
        <is>
          <t>HB</t>
        </is>
      </c>
      <c r="C22" t="inlineStr">
        <is>
          <t>Marketing</t>
        </is>
      </c>
      <c r="D22" t="inlineStr">
        <is>
          <t>Final Production</t>
        </is>
      </c>
      <c r="E22" t="inlineStr">
        <is>
          <t xml:space="preserve">Media Production </t>
        </is>
      </c>
      <c r="F22" t="inlineStr">
        <is>
          <t>1st Collection Shoot - MUA</t>
        </is>
      </c>
      <c r="G22" t="n">
        <v>8000</v>
      </c>
    </row>
    <row r="23">
      <c r="A23" t="inlineStr">
        <is>
          <t>06/01/2026</t>
        </is>
      </c>
      <c r="B23" t="inlineStr">
        <is>
          <t>HB</t>
        </is>
      </c>
      <c r="C23" t="inlineStr">
        <is>
          <t>Marketing</t>
        </is>
      </c>
      <c r="D23" t="inlineStr">
        <is>
          <t>Final Production</t>
        </is>
      </c>
      <c r="E23" t="inlineStr">
        <is>
          <t xml:space="preserve">Media Production </t>
        </is>
      </c>
      <c r="F23" t="inlineStr">
        <is>
          <t>1st Collection Shoot - Reccee and resources</t>
        </is>
      </c>
      <c r="G23" t="n">
        <v>10000</v>
      </c>
    </row>
    <row r="24">
      <c r="A24" t="inlineStr">
        <is>
          <t>06/01/2026</t>
        </is>
      </c>
      <c r="B24" t="inlineStr">
        <is>
          <t>PS</t>
        </is>
      </c>
      <c r="C24" t="inlineStr">
        <is>
          <t>Marketing</t>
        </is>
      </c>
      <c r="D24" t="inlineStr">
        <is>
          <t>Final Production</t>
        </is>
      </c>
      <c r="E24" t="inlineStr">
        <is>
          <t xml:space="preserve">Digital </t>
        </is>
      </c>
      <c r="F24" t="inlineStr">
        <is>
          <t>Hostinger</t>
        </is>
      </c>
      <c r="G24" t="n">
        <v>5500</v>
      </c>
    </row>
    <row r="25">
      <c r="A25" t="inlineStr">
        <is>
          <t>06/01/2026</t>
        </is>
      </c>
      <c r="B25" t="inlineStr">
        <is>
          <t>PS</t>
        </is>
      </c>
      <c r="C25" t="inlineStr">
        <is>
          <t>Marketing</t>
        </is>
      </c>
      <c r="D25" t="inlineStr">
        <is>
          <t>Final Production</t>
        </is>
      </c>
      <c r="E25" t="inlineStr">
        <is>
          <t xml:space="preserve">Digital </t>
        </is>
      </c>
      <c r="F25" t="inlineStr">
        <is>
          <t>Elementor - HB + PS</t>
        </is>
      </c>
      <c r="G25" t="n">
        <v>12000</v>
      </c>
    </row>
    <row r="26">
      <c r="A26" t="inlineStr">
        <is>
          <t>07/01/2026</t>
        </is>
      </c>
      <c r="B26" t="inlineStr">
        <is>
          <t>PS</t>
        </is>
      </c>
      <c r="C26" t="inlineStr">
        <is>
          <t>Product</t>
        </is>
      </c>
      <c r="D26" t="inlineStr">
        <is>
          <t>Final Production</t>
        </is>
      </c>
      <c r="E26" t="inlineStr">
        <is>
          <t>Product Design</t>
        </is>
      </c>
      <c r="F26" t="inlineStr">
        <is>
          <t xml:space="preserve">Digital Print </t>
        </is>
      </c>
      <c r="I26" t="inlineStr">
        <is>
          <t>PS1DP</t>
        </is>
      </c>
    </row>
    <row r="27">
      <c r="A27" t="inlineStr">
        <is>
          <t>07/01/2026</t>
        </is>
      </c>
      <c r="B27" t="inlineStr">
        <is>
          <t>PS</t>
        </is>
      </c>
      <c r="C27" t="inlineStr">
        <is>
          <t>Product</t>
        </is>
      </c>
      <c r="D27" t="inlineStr">
        <is>
          <t>Final Production</t>
        </is>
      </c>
      <c r="E27" t="inlineStr">
        <is>
          <t>Product Design</t>
        </is>
      </c>
      <c r="F27" t="inlineStr">
        <is>
          <t>Egpytian Cotton 32M</t>
        </is>
      </c>
      <c r="G27" t="n">
        <v>6000</v>
      </c>
      <c r="I27" t="inlineStr">
        <is>
          <t>PS1DP</t>
        </is>
      </c>
      <c r="J27" t="inlineStr">
        <is>
          <t>Mangaldas Market</t>
        </is>
      </c>
    </row>
    <row r="28">
      <c r="A28" t="inlineStr">
        <is>
          <t>07/01/2026</t>
        </is>
      </c>
      <c r="B28" t="inlineStr">
        <is>
          <t>PS</t>
        </is>
      </c>
      <c r="C28" t="inlineStr">
        <is>
          <t xml:space="preserve">Business </t>
        </is>
      </c>
      <c r="D28" t="inlineStr">
        <is>
          <t>Final Production</t>
        </is>
      </c>
      <c r="E28" t="inlineStr">
        <is>
          <t>Legal</t>
        </is>
      </c>
      <c r="F28" t="inlineStr">
        <is>
          <t>IP Registration</t>
        </is>
      </c>
      <c r="G28" t="n">
        <v>15000</v>
      </c>
      <c r="J28" t="inlineStr">
        <is>
          <t xml:space="preserve">Bhavik Savla </t>
        </is>
      </c>
    </row>
  </sheetData>
  <dataValidations count="3">
    <dataValidation sqref="I2:I80" showDropDown="0" showInputMessage="0" showErrorMessage="0" allowBlank="1" type="list">
      <formula1>"HB1DP,HB1HE,HB1JAHE,HB1PHE,HB1UHE,HB1UHP,HB1UP,HBIHP,PS1DP"</formula1>
    </dataValidation>
    <dataValidation sqref="C2:C80" showDropDown="0" showInputMessage="0" showErrorMessage="0" allowBlank="1" type="list">
      <formula1>"Product,Marketing &amp; brand,Overheads"</formula1>
    </dataValidation>
    <dataValidation sqref="D2:D80" showDropDown="0" showInputMessage="0" showErrorMessage="0" allowBlank="1" type="list">
      <formula1>"Experiment,Sample,Final production,—"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4" customWidth="1" min="3" max="3"/>
    <col width="11" customWidth="1" min="4" max="4"/>
    <col width="14" customWidth="1" min="5" max="5"/>
    <col width="11" customWidth="1" min="6" max="6"/>
  </cols>
  <sheetData>
    <row r="1">
      <c r="A1" s="1" t="inlineStr">
        <is>
          <t>date</t>
        </is>
      </c>
      <c r="B1" s="1" t="inlineStr">
        <is>
          <t>channel_name</t>
        </is>
      </c>
      <c r="C1" s="1" t="inlineStr">
        <is>
          <t>impressions</t>
        </is>
      </c>
      <c r="D1" s="1" t="inlineStr">
        <is>
          <t>clicks</t>
        </is>
      </c>
      <c r="E1" s="1" t="inlineStr">
        <is>
          <t>conversions</t>
        </is>
      </c>
      <c r="F1" s="1" t="inlineStr">
        <is>
          <t>cost</t>
        </is>
      </c>
    </row>
    <row r="2">
      <c r="A2" t="inlineStr">
        <is>
          <t>13/07/2026</t>
        </is>
      </c>
      <c r="B2" t="inlineStr">
        <is>
          <t>Instagram</t>
        </is>
      </c>
    </row>
    <row r="3">
      <c r="A3" t="inlineStr">
        <is>
          <t>13/07/2026</t>
        </is>
      </c>
      <c r="B3" t="inlineStr">
        <is>
          <t>Website</t>
        </is>
      </c>
    </row>
    <row r="4">
      <c r="A4" t="inlineStr">
        <is>
          <t>13/07/2026</t>
        </is>
      </c>
      <c r="B4" t="inlineStr">
        <is>
          <t>Marketplace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  <col width="11" customWidth="1" min="4" max="4"/>
    <col width="11" customWidth="1" min="5" max="5"/>
    <col width="11" customWidth="1" min="6" max="6"/>
    <col width="22" customWidth="1" min="7" max="7"/>
    <col width="19" customWidth="1" min="8" max="8"/>
  </cols>
  <sheetData>
    <row r="1">
      <c r="A1" s="1" t="inlineStr">
        <is>
          <t>customer_id</t>
        </is>
      </c>
      <c r="B1" s="1" t="inlineStr">
        <is>
          <t>brand_id</t>
        </is>
      </c>
      <c r="C1" s="1" t="inlineStr">
        <is>
          <t>first_order_date</t>
        </is>
      </c>
      <c r="D1" s="1" t="inlineStr">
        <is>
          <t>city</t>
        </is>
      </c>
      <c r="E1" s="1" t="inlineStr">
        <is>
          <t>age_band</t>
        </is>
      </c>
      <c r="F1" s="1" t="inlineStr">
        <is>
          <t>gender</t>
        </is>
      </c>
      <c r="G1" s="1" t="inlineStr">
        <is>
          <t>acquisition_channel</t>
        </is>
      </c>
      <c r="H1" s="1" t="inlineStr">
        <is>
          <t>acquisition_cost</t>
        </is>
      </c>
    </row>
    <row r="2">
      <c r="A2" t="inlineStr">
        <is>
          <t>HB001</t>
        </is>
      </c>
      <c r="B2" t="inlineStr">
        <is>
          <t>HB</t>
        </is>
      </c>
      <c r="C2" t="inlineStr">
        <is>
          <t>17/07/2026</t>
        </is>
      </c>
      <c r="D2" t="inlineStr">
        <is>
          <t>Mumbai</t>
        </is>
      </c>
      <c r="E2" t="inlineStr">
        <is>
          <t>25–34</t>
        </is>
      </c>
      <c r="F2" t="inlineStr">
        <is>
          <t>Men</t>
        </is>
      </c>
      <c r="G2" t="inlineStr">
        <is>
          <t>Friends and Family</t>
        </is>
      </c>
    </row>
    <row r="3">
      <c r="A3" t="inlineStr">
        <is>
          <t>HB002</t>
        </is>
      </c>
      <c r="B3" t="inlineStr">
        <is>
          <t>HB</t>
        </is>
      </c>
      <c r="C3" t="inlineStr">
        <is>
          <t>20/06/2026</t>
        </is>
      </c>
      <c r="D3" t="inlineStr">
        <is>
          <t>Mumbai</t>
        </is>
      </c>
      <c r="E3" t="inlineStr">
        <is>
          <t>35–44</t>
        </is>
      </c>
      <c r="F3" t="inlineStr">
        <is>
          <t>Women</t>
        </is>
      </c>
      <c r="G3" t="inlineStr">
        <is>
          <t>Friends and Family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3" customWidth="1" min="4" max="4"/>
    <col width="13" customWidth="1" min="5" max="5"/>
    <col width="11" customWidth="1" min="6" max="6"/>
    <col width="19" customWidth="1" min="7" max="7"/>
    <col width="16" customWidth="1" min="8" max="8"/>
    <col width="11" customWidth="1" min="9" max="9"/>
    <col width="11" customWidth="1" min="10" max="10"/>
    <col width="16" customWidth="1" min="11" max="11"/>
    <col width="11" customWidth="1" min="12" max="12"/>
    <col width="11" customWidth="1" min="13" max="13"/>
  </cols>
  <sheetData>
    <row r="1">
      <c r="A1" s="1" t="inlineStr">
        <is>
          <t>material</t>
        </is>
      </c>
      <c r="B1" s="1" t="inlineStr">
        <is>
          <t>category</t>
        </is>
      </c>
      <c r="C1" s="1" t="inlineStr">
        <is>
          <t>unit</t>
        </is>
      </c>
      <c r="D1" s="1" t="inlineStr">
        <is>
          <t>qty_bought</t>
        </is>
      </c>
      <c r="E1" s="1" t="inlineStr">
        <is>
          <t>total_cost</t>
        </is>
      </c>
      <c r="F1" s="1" t="inlineStr">
        <is>
          <t>rate</t>
        </is>
      </c>
      <c r="G1" s="1" t="inlineStr">
        <is>
          <t>quantity_on_hand</t>
        </is>
      </c>
      <c r="H1" s="1" t="inlineStr">
        <is>
          <t>reorder_level</t>
        </is>
      </c>
      <c r="I1" s="1" t="inlineStr">
        <is>
          <t>status</t>
        </is>
      </c>
      <c r="J1" s="1" t="inlineStr">
        <is>
          <t>on_order</t>
        </is>
      </c>
      <c r="K1" s="1" t="inlineStr">
        <is>
          <t>expected_date</t>
        </is>
      </c>
      <c r="L1" s="1" t="inlineStr">
        <is>
          <t>supplier</t>
        </is>
      </c>
      <c r="M1" s="1" t="inlineStr">
        <is>
          <t>notes</t>
        </is>
      </c>
    </row>
    <row r="2">
      <c r="A2" s="2" t="inlineStr">
        <is>
          <t>Bamboo</t>
        </is>
      </c>
      <c r="B2" s="2" t="inlineStr">
        <is>
          <t>Fabric</t>
        </is>
      </c>
      <c r="C2" s="2" t="inlineStr">
        <is>
          <t>metre</t>
        </is>
      </c>
      <c r="D2" s="2" t="n">
        <v>15</v>
      </c>
      <c r="E2" s="2" t="n">
        <v>8100</v>
      </c>
      <c r="F2" s="3">
        <f>IF($D2&gt;0,$E2/$D2,"")</f>
        <v/>
      </c>
      <c r="G2" s="3">
        <f>IF($D2="","",$D2-SUMIF(SKU_MATERIALS!$D:$D,$A2,SKU_MATERIALS!$F:$F))</f>
        <v/>
      </c>
      <c r="H2" s="2" t="n">
        <v>10</v>
      </c>
      <c r="I2" s="3">
        <f>IF($G2="","",IF($G2&lt;=0,"Out of stock",IF(AND($H2&lt;&gt;"",$G2&lt;=$H2),"Running low","In stock")))</f>
        <v/>
      </c>
      <c r="J2" s="2" t="inlineStr">
        <is>
          <t>No</t>
        </is>
      </c>
      <c r="L2" s="2" t="inlineStr">
        <is>
          <t>Fabriclore</t>
        </is>
      </c>
      <c r="M2" s="2" t="inlineStr">
        <is>
          <t>example — 15 m bought</t>
        </is>
      </c>
    </row>
    <row r="3">
      <c r="A3" t="inlineStr">
        <is>
          <t>100% Linen</t>
        </is>
      </c>
      <c r="B3" t="inlineStr">
        <is>
          <t>Fabric</t>
        </is>
      </c>
      <c r="C3" t="inlineStr">
        <is>
          <t>metre</t>
        </is>
      </c>
      <c r="F3" s="3">
        <f>IF($D3&gt;0,$E3/$D3,"")</f>
        <v/>
      </c>
      <c r="G3" s="3">
        <f>IF($D3="","",$D3-SUMIF(SKU_MATERIALS!$D:$D,$A3,SKU_MATERIALS!$F:$F))</f>
        <v/>
      </c>
      <c r="H3" t="n">
        <v>8</v>
      </c>
      <c r="I3" s="3">
        <f>IF($G3="","",IF($G3&lt;=0,"Out of stock",IF(AND($H3&lt;&gt;"",$G3&lt;=$H3),"Running low","In stock")))</f>
        <v/>
      </c>
    </row>
    <row r="4">
      <c r="A4" t="inlineStr">
        <is>
          <t>Mixed: Cotton + Linen</t>
        </is>
      </c>
      <c r="B4" t="inlineStr">
        <is>
          <t>Fabric</t>
        </is>
      </c>
      <c r="C4" t="inlineStr">
        <is>
          <t>metre</t>
        </is>
      </c>
      <c r="F4" s="3">
        <f>IF($D4&gt;0,$E4/$D4,"")</f>
        <v/>
      </c>
      <c r="G4" s="3">
        <f>IF($D4="","",$D4-SUMIF(SKU_MATERIALS!$D:$D,$A4,SKU_MATERIALS!$F:$F))</f>
        <v/>
      </c>
      <c r="H4" t="n">
        <v>8</v>
      </c>
      <c r="I4" s="3">
        <f>IF($G4="","",IF($G4&lt;=0,"Out of stock",IF(AND($H4&lt;&gt;"",$G4&lt;=$H4),"Running low","In stock")))</f>
        <v/>
      </c>
    </row>
    <row r="5">
      <c r="A5" t="inlineStr">
        <is>
          <t>Upcycled</t>
        </is>
      </c>
      <c r="B5" t="inlineStr">
        <is>
          <t>Fabric</t>
        </is>
      </c>
      <c r="C5" t="inlineStr">
        <is>
          <t>metre</t>
        </is>
      </c>
      <c r="F5" s="3">
        <f>IF($D5&gt;0,$E5/$D5,"")</f>
        <v/>
      </c>
      <c r="G5" s="3">
        <f>IF($D5="","",$D5-SUMIF(SKU_MATERIALS!$D:$D,$A5,SKU_MATERIALS!$F:$F))</f>
        <v/>
      </c>
      <c r="H5" t="n">
        <v>8</v>
      </c>
      <c r="I5" s="3">
        <f>IF($G5="","",IF($G5&lt;=0,"Out of stock",IF(AND($H5&lt;&gt;"",$G5&lt;=$H5),"Running low","In stock")))</f>
        <v/>
      </c>
    </row>
    <row r="6">
      <c r="A6" t="inlineStr">
        <is>
          <t>Giza Cotton</t>
        </is>
      </c>
      <c r="B6" t="inlineStr">
        <is>
          <t>Fabric</t>
        </is>
      </c>
      <c r="C6" t="inlineStr">
        <is>
          <t>metre</t>
        </is>
      </c>
      <c r="F6" s="3">
        <f>IF($D6&gt;0,$E6/$D6,"")</f>
        <v/>
      </c>
      <c r="G6" s="3">
        <f>IF($D6="","",$D6-SUMIF(SKU_MATERIALS!$D:$D,$A6,SKU_MATERIALS!$F:$F))</f>
        <v/>
      </c>
      <c r="H6" t="n">
        <v>8</v>
      </c>
      <c r="I6" s="3">
        <f>IF($G6="","",IF($G6&lt;=0,"Out of stock",IF(AND($H6&lt;&gt;"",$G6&lt;=$H6),"Running low","In stock")))</f>
        <v/>
      </c>
    </row>
    <row r="7">
      <c r="A7" t="inlineStr">
        <is>
          <t>Black thread</t>
        </is>
      </c>
      <c r="B7" t="inlineStr">
        <is>
          <t>Thread</t>
        </is>
      </c>
      <c r="C7" t="inlineStr">
        <is>
          <t>spool</t>
        </is>
      </c>
      <c r="F7" s="3">
        <f>IF($D7&gt;0,$E7/$D7,"")</f>
        <v/>
      </c>
      <c r="G7" s="3">
        <f>IF($D7="","",$D7-SUMIF(SKU_MATERIALS!$D:$D,$A7,SKU_MATERIALS!$F:$F))</f>
        <v/>
      </c>
      <c r="H7" t="n">
        <v>5</v>
      </c>
      <c r="I7" s="3">
        <f>IF($G7="","",IF($G7&lt;=0,"Out of stock",IF(AND($H7&lt;&gt;"",$G7&lt;=$H7),"Running low","In stock")))</f>
        <v/>
      </c>
    </row>
    <row r="8">
      <c r="A8" t="inlineStr">
        <is>
          <t>White thread</t>
        </is>
      </c>
      <c r="B8" t="inlineStr">
        <is>
          <t>Thread</t>
        </is>
      </c>
      <c r="C8" t="inlineStr">
        <is>
          <t>spool</t>
        </is>
      </c>
      <c r="F8" s="3">
        <f>IF($D8&gt;0,$E8/$D8,"")</f>
        <v/>
      </c>
      <c r="G8" s="3">
        <f>IF($D8="","",$D8-SUMIF(SKU_MATERIALS!$D:$D,$A8,SKU_MATERIALS!$F:$F))</f>
        <v/>
      </c>
      <c r="H8" t="n">
        <v>5</v>
      </c>
      <c r="I8" s="3">
        <f>IF($G8="","",IF($G8&lt;=0,"Out of stock",IF(AND($H8&lt;&gt;"",$G8&lt;=$H8),"Running low","In stock")))</f>
        <v/>
      </c>
    </row>
    <row r="9">
      <c r="A9" t="inlineStr">
        <is>
          <t>Wooden buttons</t>
        </is>
      </c>
      <c r="B9" t="inlineStr">
        <is>
          <t>Button</t>
        </is>
      </c>
      <c r="C9" t="inlineStr">
        <is>
          <t>piece</t>
        </is>
      </c>
      <c r="F9" s="3">
        <f>IF($D9&gt;0,$E9/$D9,"")</f>
        <v/>
      </c>
      <c r="G9" s="3">
        <f>IF($D9="","",$D9-SUMIF(SKU_MATERIALS!$D:$D,$A9,SKU_MATERIALS!$F:$F))</f>
        <v/>
      </c>
      <c r="H9" t="n">
        <v>5</v>
      </c>
      <c r="I9" s="3">
        <f>IF($G9="","",IF($G9&lt;=0,"Out of stock",IF(AND($H9&lt;&gt;"",$G9&lt;=$H9),"Running low","In stock")))</f>
        <v/>
      </c>
    </row>
    <row r="10">
      <c r="A10" t="inlineStr">
        <is>
          <t>Fabric paint — red</t>
        </is>
      </c>
      <c r="B10" t="inlineStr">
        <is>
          <t>Paint</t>
        </is>
      </c>
      <c r="C10" t="inlineStr">
        <is>
          <t>jar</t>
        </is>
      </c>
      <c r="F10" s="3">
        <f>IF($D10&gt;0,$E10/$D10,"")</f>
        <v/>
      </c>
      <c r="G10" s="3">
        <f>IF($D10="","",$D10-SUMIF(SKU_MATERIALS!$D:$D,$A10,SKU_MATERIALS!$F:$F))</f>
        <v/>
      </c>
      <c r="H10" t="n">
        <v>5</v>
      </c>
      <c r="I10" s="3">
        <f>IF($G10="","",IF($G10&lt;=0,"Out of stock",IF(AND($H10&lt;&gt;"",$G10&lt;=$H10),"Running low","In stock")))</f>
        <v/>
      </c>
    </row>
    <row r="11">
      <c r="A11" t="inlineStr">
        <is>
          <t>Poly mailers</t>
        </is>
      </c>
      <c r="B11" t="inlineStr">
        <is>
          <t>Packaging</t>
        </is>
      </c>
      <c r="C11" t="inlineStr">
        <is>
          <t>piece</t>
        </is>
      </c>
      <c r="F11" s="3">
        <f>IF($D11&gt;0,$E11/$D11,"")</f>
        <v/>
      </c>
      <c r="G11" s="3">
        <f>IF($D11="","",$D11-SUMIF(SKU_MATERIALS!$D:$D,$A11,SKU_MATERIALS!$F:$F))</f>
        <v/>
      </c>
      <c r="H11" t="n">
        <v>5</v>
      </c>
      <c r="I11" s="3">
        <f>IF($G11="","",IF($G11&lt;=0,"Out of stock",IF(AND($H11&lt;&gt;"",$G11&lt;=$H11),"Running low","In stock")))</f>
        <v/>
      </c>
    </row>
    <row r="12">
      <c r="F12" s="3">
        <f>IF($D12&gt;0,$E12/$D12,"")</f>
        <v/>
      </c>
      <c r="G12" s="3">
        <f>IF($D12="","",$D12-SUMIF(SKU_MATERIALS!$D:$D,$A12,SKU_MATERIALS!$F:$F))</f>
        <v/>
      </c>
      <c r="I12" s="3">
        <f>IF($G12="","",IF($G12&lt;=0,"Out of stock",IF(AND($H12&lt;&gt;"",$G12&lt;=$H12),"Running low","In stock")))</f>
        <v/>
      </c>
    </row>
    <row r="13">
      <c r="F13" s="3">
        <f>IF($D13&gt;0,$E13/$D13,"")</f>
        <v/>
      </c>
      <c r="G13" s="3">
        <f>IF($D13="","",$D13-SUMIF(SKU_MATERIALS!$D:$D,$A13,SKU_MATERIALS!$F:$F))</f>
        <v/>
      </c>
      <c r="I13" s="3">
        <f>IF($G13="","",IF($G13&lt;=0,"Out of stock",IF(AND($H13&lt;&gt;"",$G13&lt;=$H13),"Running low","In stock")))</f>
        <v/>
      </c>
    </row>
    <row r="14">
      <c r="F14" s="3">
        <f>IF($D14&gt;0,$E14/$D14,"")</f>
        <v/>
      </c>
      <c r="G14" s="3">
        <f>IF($D14="","",$D14-SUMIF(SKU_MATERIALS!$D:$D,$A14,SKU_MATERIALS!$F:$F))</f>
        <v/>
      </c>
      <c r="I14" s="3">
        <f>IF($G14="","",IF($G14&lt;=0,"Out of stock",IF(AND($H14&lt;&gt;"",$G14&lt;=$H14),"Running low","In stock")))</f>
        <v/>
      </c>
    </row>
    <row r="15">
      <c r="F15" s="3">
        <f>IF($D15&gt;0,$E15/$D15,"")</f>
        <v/>
      </c>
      <c r="G15" s="3">
        <f>IF($D15="","",$D15-SUMIF(SKU_MATERIALS!$D:$D,$A15,SKU_MATERIALS!$F:$F))</f>
        <v/>
      </c>
      <c r="I15" s="3">
        <f>IF($G15="","",IF($G15&lt;=0,"Out of stock",IF(AND($H15&lt;&gt;"",$G15&lt;=$H15),"Running low","In stock")))</f>
        <v/>
      </c>
    </row>
    <row r="16">
      <c r="F16" s="3">
        <f>IF($D16&gt;0,$E16/$D16,"")</f>
        <v/>
      </c>
      <c r="G16" s="3">
        <f>IF($D16="","",$D16-SUMIF(SKU_MATERIALS!$D:$D,$A16,SKU_MATERIALS!$F:$F))</f>
        <v/>
      </c>
      <c r="I16" s="3">
        <f>IF($G16="","",IF($G16&lt;=0,"Out of stock",IF(AND($H16&lt;&gt;"",$G16&lt;=$H16),"Running low","In stock")))</f>
        <v/>
      </c>
    </row>
    <row r="17">
      <c r="F17" s="3">
        <f>IF($D17&gt;0,$E17/$D17,"")</f>
        <v/>
      </c>
      <c r="G17" s="3">
        <f>IF($D17="","",$D17-SUMIF(SKU_MATERIALS!$D:$D,$A17,SKU_MATERIALS!$F:$F))</f>
        <v/>
      </c>
      <c r="I17" s="3">
        <f>IF($G17="","",IF($G17&lt;=0,"Out of stock",IF(AND($H17&lt;&gt;"",$G17&lt;=$H17),"Running low","In stock")))</f>
        <v/>
      </c>
    </row>
    <row r="18">
      <c r="F18" s="3">
        <f>IF($D18&gt;0,$E18/$D18,"")</f>
        <v/>
      </c>
      <c r="G18" s="3">
        <f>IF($D18="","",$D18-SUMIF(SKU_MATERIALS!$D:$D,$A18,SKU_MATERIALS!$F:$F))</f>
        <v/>
      </c>
      <c r="I18" s="3">
        <f>IF($G18="","",IF($G18&lt;=0,"Out of stock",IF(AND($H18&lt;&gt;"",$G18&lt;=$H18),"Running low","In stock")))</f>
        <v/>
      </c>
    </row>
    <row r="19">
      <c r="F19" s="3">
        <f>IF($D19&gt;0,$E19/$D19,"")</f>
        <v/>
      </c>
      <c r="G19" s="3">
        <f>IF($D19="","",$D19-SUMIF(SKU_MATERIALS!$D:$D,$A19,SKU_MATERIALS!$F:$F))</f>
        <v/>
      </c>
      <c r="I19" s="3">
        <f>IF($G19="","",IF($G19&lt;=0,"Out of stock",IF(AND($H19&lt;&gt;"",$G19&lt;=$H19),"Running low","In stock")))</f>
        <v/>
      </c>
    </row>
    <row r="20">
      <c r="F20" s="3">
        <f>IF($D20&gt;0,$E20/$D20,"")</f>
        <v/>
      </c>
      <c r="G20" s="3">
        <f>IF($D20="","",$D20-SUMIF(SKU_MATERIALS!$D:$D,$A20,SKU_MATERIALS!$F:$F))</f>
        <v/>
      </c>
      <c r="I20" s="3">
        <f>IF($G20="","",IF($G20&lt;=0,"Out of stock",IF(AND($H20&lt;&gt;"",$G20&lt;=$H20),"Running low","In stock")))</f>
        <v/>
      </c>
    </row>
    <row r="21">
      <c r="F21" s="3">
        <f>IF($D21&gt;0,$E21/$D21,"")</f>
        <v/>
      </c>
      <c r="G21" s="3">
        <f>IF($D21="","",$D21-SUMIF(SKU_MATERIALS!$D:$D,$A21,SKU_MATERIALS!$F:$F))</f>
        <v/>
      </c>
      <c r="I21" s="3">
        <f>IF($G21="","",IF($G21&lt;=0,"Out of stock",IF(AND($H21&lt;&gt;"",$G21&lt;=$H21),"Running low","In stock")))</f>
        <v/>
      </c>
    </row>
    <row r="22">
      <c r="F22" s="3">
        <f>IF($D22&gt;0,$E22/$D22,"")</f>
        <v/>
      </c>
      <c r="G22" s="3">
        <f>IF($D22="","",$D22-SUMIF(SKU_MATERIALS!$D:$D,$A22,SKU_MATERIALS!$F:$F))</f>
        <v/>
      </c>
      <c r="I22" s="3">
        <f>IF($G22="","",IF($G22&lt;=0,"Out of stock",IF(AND($H22&lt;&gt;"",$G22&lt;=$H22),"Running low","In stock")))</f>
        <v/>
      </c>
    </row>
    <row r="23">
      <c r="F23" s="3">
        <f>IF($D23&gt;0,$E23/$D23,"")</f>
        <v/>
      </c>
      <c r="G23" s="3">
        <f>IF($D23="","",$D23-SUMIF(SKU_MATERIALS!$D:$D,$A23,SKU_MATERIALS!$F:$F))</f>
        <v/>
      </c>
      <c r="I23" s="3">
        <f>IF($G23="","",IF($G23&lt;=0,"Out of stock",IF(AND($H23&lt;&gt;"",$G23&lt;=$H23),"Running low","In stock")))</f>
        <v/>
      </c>
    </row>
    <row r="24">
      <c r="F24" s="3">
        <f>IF($D24&gt;0,$E24/$D24,"")</f>
        <v/>
      </c>
      <c r="G24" s="3">
        <f>IF($D24="","",$D24-SUMIF(SKU_MATERIALS!$D:$D,$A24,SKU_MATERIALS!$F:$F))</f>
        <v/>
      </c>
      <c r="I24" s="3">
        <f>IF($G24="","",IF($G24&lt;=0,"Out of stock",IF(AND($H24&lt;&gt;"",$G24&lt;=$H24),"Running low","In stock")))</f>
        <v/>
      </c>
    </row>
    <row r="25">
      <c r="F25" s="3">
        <f>IF($D25&gt;0,$E25/$D25,"")</f>
        <v/>
      </c>
      <c r="G25" s="3">
        <f>IF($D25="","",$D25-SUMIF(SKU_MATERIALS!$D:$D,$A25,SKU_MATERIALS!$F:$F))</f>
        <v/>
      </c>
      <c r="I25" s="3">
        <f>IF($G25="","",IF($G25&lt;=0,"Out of stock",IF(AND($H25&lt;&gt;"",$G25&lt;=$H25),"Running low","In stock")))</f>
        <v/>
      </c>
    </row>
    <row r="26">
      <c r="F26" s="3">
        <f>IF($D26&gt;0,$E26/$D26,"")</f>
        <v/>
      </c>
      <c r="G26" s="3">
        <f>IF($D26="","",$D26-SUMIF(SKU_MATERIALS!$D:$D,$A26,SKU_MATERIALS!$F:$F))</f>
        <v/>
      </c>
      <c r="I26" s="3">
        <f>IF($G26="","",IF($G26&lt;=0,"Out of stock",IF(AND($H26&lt;&gt;"",$G26&lt;=$H26),"Running low","In stock")))</f>
        <v/>
      </c>
    </row>
    <row r="27">
      <c r="F27" s="3">
        <f>IF($D27&gt;0,$E27/$D27,"")</f>
        <v/>
      </c>
      <c r="G27" s="3">
        <f>IF($D27="","",$D27-SUMIF(SKU_MATERIALS!$D:$D,$A27,SKU_MATERIALS!$F:$F))</f>
        <v/>
      </c>
      <c r="I27" s="3">
        <f>IF($G27="","",IF($G27&lt;=0,"Out of stock",IF(AND($H27&lt;&gt;"",$G27&lt;=$H27),"Running low","In stock")))</f>
        <v/>
      </c>
    </row>
    <row r="28">
      <c r="F28" s="3">
        <f>IF($D28&gt;0,$E28/$D28,"")</f>
        <v/>
      </c>
      <c r="G28" s="3">
        <f>IF($D28="","",$D28-SUMIF(SKU_MATERIALS!$D:$D,$A28,SKU_MATERIALS!$F:$F))</f>
        <v/>
      </c>
      <c r="I28" s="3">
        <f>IF($G28="","",IF($G28&lt;=0,"Out of stock",IF(AND($H28&lt;&gt;"",$G28&lt;=$H28),"Running low","In stock")))</f>
        <v/>
      </c>
    </row>
    <row r="29">
      <c r="F29" s="3">
        <f>IF($D29&gt;0,$E29/$D29,"")</f>
        <v/>
      </c>
      <c r="G29" s="3">
        <f>IF($D29="","",$D29-SUMIF(SKU_MATERIALS!$D:$D,$A29,SKU_MATERIALS!$F:$F))</f>
        <v/>
      </c>
      <c r="I29" s="3">
        <f>IF($G29="","",IF($G29&lt;=0,"Out of stock",IF(AND($H29&lt;&gt;"",$G29&lt;=$H29),"Running low","In stock")))</f>
        <v/>
      </c>
    </row>
    <row r="30">
      <c r="F30" s="3">
        <f>IF($D30&gt;0,$E30/$D30,"")</f>
        <v/>
      </c>
      <c r="G30" s="3">
        <f>IF($D30="","",$D30-SUMIF(SKU_MATERIALS!$D:$D,$A30,SKU_MATERIALS!$F:$F))</f>
        <v/>
      </c>
      <c r="I30" s="3">
        <f>IF($G30="","",IF($G30&lt;=0,"Out of stock",IF(AND($H30&lt;&gt;"",$G30&lt;=$H30),"Running low","In stock")))</f>
        <v/>
      </c>
    </row>
    <row r="31">
      <c r="F31" s="3">
        <f>IF($D31&gt;0,$E31/$D31,"")</f>
        <v/>
      </c>
      <c r="G31" s="3">
        <f>IF($D31="","",$D31-SUMIF(SKU_MATERIALS!$D:$D,$A31,SKU_MATERIALS!$F:$F))</f>
        <v/>
      </c>
      <c r="I31" s="3">
        <f>IF($G31="","",IF($G31&lt;=0,"Out of stock",IF(AND($H31&lt;&gt;"",$G31&lt;=$H31),"Running low","In stock")))</f>
        <v/>
      </c>
    </row>
    <row r="32">
      <c r="F32" s="3">
        <f>IF($D32&gt;0,$E32/$D32,"")</f>
        <v/>
      </c>
      <c r="G32" s="3">
        <f>IF($D32="","",$D32-SUMIF(SKU_MATERIALS!$D:$D,$A32,SKU_MATERIALS!$F:$F))</f>
        <v/>
      </c>
      <c r="I32" s="3">
        <f>IF($G32="","",IF($G32&lt;=0,"Out of stock",IF(AND($H32&lt;&gt;"",$G32&lt;=$H32),"Running low","In stock")))</f>
        <v/>
      </c>
    </row>
    <row r="33">
      <c r="F33" s="3">
        <f>IF($D33&gt;0,$E33/$D33,"")</f>
        <v/>
      </c>
      <c r="G33" s="3">
        <f>IF($D33="","",$D33-SUMIF(SKU_MATERIALS!$D:$D,$A33,SKU_MATERIALS!$F:$F))</f>
        <v/>
      </c>
      <c r="I33" s="3">
        <f>IF($G33="","",IF($G33&lt;=0,"Out of stock",IF(AND($H33&lt;&gt;"",$G33&lt;=$H33),"Running low","In stock")))</f>
        <v/>
      </c>
    </row>
    <row r="34">
      <c r="F34" s="3">
        <f>IF($D34&gt;0,$E34/$D34,"")</f>
        <v/>
      </c>
      <c r="G34" s="3">
        <f>IF($D34="","",$D34-SUMIF(SKU_MATERIALS!$D:$D,$A34,SKU_MATERIALS!$F:$F))</f>
        <v/>
      </c>
      <c r="I34" s="3">
        <f>IF($G34="","",IF($G34&lt;=0,"Out of stock",IF(AND($H34&lt;&gt;"",$G34&lt;=$H34),"Running low","In stock")))</f>
        <v/>
      </c>
    </row>
    <row r="35">
      <c r="F35" s="3">
        <f>IF($D35&gt;0,$E35/$D35,"")</f>
        <v/>
      </c>
      <c r="G35" s="3">
        <f>IF($D35="","",$D35-SUMIF(SKU_MATERIALS!$D:$D,$A35,SKU_MATERIALS!$F:$F))</f>
        <v/>
      </c>
      <c r="I35" s="3">
        <f>IF($G35="","",IF($G35&lt;=0,"Out of stock",IF(AND($H35&lt;&gt;"",$G35&lt;=$H35),"Running low","In stock")))</f>
        <v/>
      </c>
    </row>
    <row r="36">
      <c r="F36" s="3">
        <f>IF($D36&gt;0,$E36/$D36,"")</f>
        <v/>
      </c>
      <c r="G36" s="3">
        <f>IF($D36="","",$D36-SUMIF(SKU_MATERIALS!$D:$D,$A36,SKU_MATERIALS!$F:$F))</f>
        <v/>
      </c>
      <c r="I36" s="3">
        <f>IF($G36="","",IF($G36&lt;=0,"Out of stock",IF(AND($H36&lt;&gt;"",$G36&lt;=$H36),"Running low","In stock")))</f>
        <v/>
      </c>
    </row>
    <row r="37">
      <c r="F37" s="3">
        <f>IF($D37&gt;0,$E37/$D37,"")</f>
        <v/>
      </c>
      <c r="G37" s="3">
        <f>IF($D37="","",$D37-SUMIF(SKU_MATERIALS!$D:$D,$A37,SKU_MATERIALS!$F:$F))</f>
        <v/>
      </c>
      <c r="I37" s="3">
        <f>IF($G37="","",IF($G37&lt;=0,"Out of stock",IF(AND($H37&lt;&gt;"",$G37&lt;=$H37),"Running low","In stock")))</f>
        <v/>
      </c>
    </row>
    <row r="38">
      <c r="F38" s="3">
        <f>IF($D38&gt;0,$E38/$D38,"")</f>
        <v/>
      </c>
      <c r="G38" s="3">
        <f>IF($D38="","",$D38-SUMIF(SKU_MATERIALS!$D:$D,$A38,SKU_MATERIALS!$F:$F))</f>
        <v/>
      </c>
      <c r="I38" s="3">
        <f>IF($G38="","",IF($G38&lt;=0,"Out of stock",IF(AND($H38&lt;&gt;"",$G38&lt;=$H38),"Running low","In stock")))</f>
        <v/>
      </c>
    </row>
    <row r="39">
      <c r="F39" s="3">
        <f>IF($D39&gt;0,$E39/$D39,"")</f>
        <v/>
      </c>
      <c r="G39" s="3">
        <f>IF($D39="","",$D39-SUMIF(SKU_MATERIALS!$D:$D,$A39,SKU_MATERIALS!$F:$F))</f>
        <v/>
      </c>
      <c r="I39" s="3">
        <f>IF($G39="","",IF($G39&lt;=0,"Out of stock",IF(AND($H39&lt;&gt;"",$G39&lt;=$H39),"Running low","In stock")))</f>
        <v/>
      </c>
    </row>
    <row r="40">
      <c r="F40" s="3">
        <f>IF($D40&gt;0,$E40/$D40,"")</f>
        <v/>
      </c>
      <c r="G40" s="3">
        <f>IF($D40="","",$D40-SUMIF(SKU_MATERIALS!$D:$D,$A40,SKU_MATERIALS!$F:$F))</f>
        <v/>
      </c>
      <c r="I40" s="3">
        <f>IF($G40="","",IF($G40&lt;=0,"Out of stock",IF(AND($H40&lt;&gt;"",$G40&lt;=$H40),"Running low","In stock")))</f>
        <v/>
      </c>
    </row>
    <row r="41">
      <c r="F41" s="3">
        <f>IF($D41&gt;0,$E41/$D41,"")</f>
        <v/>
      </c>
      <c r="G41" s="3">
        <f>IF($D41="","",$D41-SUMIF(SKU_MATERIALS!$D:$D,$A41,SKU_MATERIALS!$F:$F))</f>
        <v/>
      </c>
      <c r="I41" s="3">
        <f>IF($G41="","",IF($G41&lt;=0,"Out of stock",IF(AND($H41&lt;&gt;"",$G41&lt;=$H41),"Running low","In stock")))</f>
        <v/>
      </c>
    </row>
    <row r="42">
      <c r="F42" s="3">
        <f>IF($D42&gt;0,$E42/$D42,"")</f>
        <v/>
      </c>
      <c r="G42" s="3">
        <f>IF($D42="","",$D42-SUMIF(SKU_MATERIALS!$D:$D,$A42,SKU_MATERIALS!$F:$F))</f>
        <v/>
      </c>
      <c r="I42" s="3">
        <f>IF($G42="","",IF($G42&lt;=0,"Out of stock",IF(AND($H42&lt;&gt;"",$G42&lt;=$H42),"Running low","In stock")))</f>
        <v/>
      </c>
    </row>
    <row r="43">
      <c r="F43" s="3">
        <f>IF($D43&gt;0,$E43/$D43,"")</f>
        <v/>
      </c>
      <c r="G43" s="3">
        <f>IF($D43="","",$D43-SUMIF(SKU_MATERIALS!$D:$D,$A43,SKU_MATERIALS!$F:$F))</f>
        <v/>
      </c>
      <c r="I43" s="3">
        <f>IF($G43="","",IF($G43&lt;=0,"Out of stock",IF(AND($H43&lt;&gt;"",$G43&lt;=$H43),"Running low","In stock")))</f>
        <v/>
      </c>
    </row>
    <row r="44">
      <c r="F44" s="3">
        <f>IF($D44&gt;0,$E44/$D44,"")</f>
        <v/>
      </c>
      <c r="G44" s="3">
        <f>IF($D44="","",$D44-SUMIF(SKU_MATERIALS!$D:$D,$A44,SKU_MATERIALS!$F:$F))</f>
        <v/>
      </c>
      <c r="I44" s="3">
        <f>IF($G44="","",IF($G44&lt;=0,"Out of stock",IF(AND($H44&lt;&gt;"",$G44&lt;=$H44),"Running low","In stock")))</f>
        <v/>
      </c>
    </row>
    <row r="45">
      <c r="F45" s="3">
        <f>IF($D45&gt;0,$E45/$D45,"")</f>
        <v/>
      </c>
      <c r="G45" s="3">
        <f>IF($D45="","",$D45-SUMIF(SKU_MATERIALS!$D:$D,$A45,SKU_MATERIALS!$F:$F))</f>
        <v/>
      </c>
      <c r="I45" s="3">
        <f>IF($G45="","",IF($G45&lt;=0,"Out of stock",IF(AND($H45&lt;&gt;"",$G45&lt;=$H45),"Running low","In stock")))</f>
        <v/>
      </c>
    </row>
    <row r="46">
      <c r="F46" s="3">
        <f>IF($D46&gt;0,$E46/$D46,"")</f>
        <v/>
      </c>
      <c r="G46" s="3">
        <f>IF($D46="","",$D46-SUMIF(SKU_MATERIALS!$D:$D,$A46,SKU_MATERIALS!$F:$F))</f>
        <v/>
      </c>
      <c r="I46" s="3">
        <f>IF($G46="","",IF($G46&lt;=0,"Out of stock",IF(AND($H46&lt;&gt;"",$G46&lt;=$H46),"Running low","In stock")))</f>
        <v/>
      </c>
    </row>
    <row r="47">
      <c r="F47" s="3">
        <f>IF($D47&gt;0,$E47/$D47,"")</f>
        <v/>
      </c>
      <c r="G47" s="3">
        <f>IF($D47="","",$D47-SUMIF(SKU_MATERIALS!$D:$D,$A47,SKU_MATERIALS!$F:$F))</f>
        <v/>
      </c>
      <c r="I47" s="3">
        <f>IF($G47="","",IF($G47&lt;=0,"Out of stock",IF(AND($H47&lt;&gt;"",$G47&lt;=$H47),"Running low","In stock")))</f>
        <v/>
      </c>
    </row>
    <row r="48">
      <c r="F48" s="3">
        <f>IF($D48&gt;0,$E48/$D48,"")</f>
        <v/>
      </c>
      <c r="G48" s="3">
        <f>IF($D48="","",$D48-SUMIF(SKU_MATERIALS!$D:$D,$A48,SKU_MATERIALS!$F:$F))</f>
        <v/>
      </c>
      <c r="I48" s="3">
        <f>IF($G48="","",IF($G48&lt;=0,"Out of stock",IF(AND($H48&lt;&gt;"",$G48&lt;=$H48),"Running low","In stock")))</f>
        <v/>
      </c>
    </row>
    <row r="49">
      <c r="F49" s="3">
        <f>IF($D49&gt;0,$E49/$D49,"")</f>
        <v/>
      </c>
      <c r="G49" s="3">
        <f>IF($D49="","",$D49-SUMIF(SKU_MATERIALS!$D:$D,$A49,SKU_MATERIALS!$F:$F))</f>
        <v/>
      </c>
      <c r="I49" s="3">
        <f>IF($G49="","",IF($G49&lt;=0,"Out of stock",IF(AND($H49&lt;&gt;"",$G49&lt;=$H49),"Running low","In stock")))</f>
        <v/>
      </c>
    </row>
    <row r="50">
      <c r="F50" s="3">
        <f>IF($D50&gt;0,$E50/$D50,"")</f>
        <v/>
      </c>
      <c r="G50" s="3">
        <f>IF($D50="","",$D50-SUMIF(SKU_MATERIALS!$D:$D,$A50,SKU_MATERIALS!$F:$F))</f>
        <v/>
      </c>
      <c r="I50" s="3">
        <f>IF($G50="","",IF($G50&lt;=0,"Out of stock",IF(AND($H50&lt;&gt;"",$G50&lt;=$H50),"Running low","In stock")))</f>
        <v/>
      </c>
    </row>
    <row r="51">
      <c r="F51" s="3">
        <f>IF($D51&gt;0,$E51/$D51,"")</f>
        <v/>
      </c>
      <c r="G51" s="3">
        <f>IF($D51="","",$D51-SUMIF(SKU_MATERIALS!$D:$D,$A51,SKU_MATERIALS!$F:$F))</f>
        <v/>
      </c>
      <c r="I51" s="3">
        <f>IF($G51="","",IF($G51&lt;=0,"Out of stock",IF(AND($H51&lt;&gt;"",$G51&lt;=$H51),"Running low","In stock")))</f>
        <v/>
      </c>
    </row>
    <row r="52">
      <c r="F52" s="3">
        <f>IF($D52&gt;0,$E52/$D52,"")</f>
        <v/>
      </c>
      <c r="G52" s="3">
        <f>IF($D52="","",$D52-SUMIF(SKU_MATERIALS!$D:$D,$A52,SKU_MATERIALS!$F:$F))</f>
        <v/>
      </c>
      <c r="I52" s="3">
        <f>IF($G52="","",IF($G52&lt;=0,"Out of stock",IF(AND($H52&lt;&gt;"",$G52&lt;=$H52),"Running low","In stock")))</f>
        <v/>
      </c>
    </row>
    <row r="53">
      <c r="F53" s="3">
        <f>IF($D53&gt;0,$E53/$D53,"")</f>
        <v/>
      </c>
      <c r="G53" s="3">
        <f>IF($D53="","",$D53-SUMIF(SKU_MATERIALS!$D:$D,$A53,SKU_MATERIALS!$F:$F))</f>
        <v/>
      </c>
      <c r="I53" s="3">
        <f>IF($G53="","",IF($G53&lt;=0,"Out of stock",IF(AND($H53&lt;&gt;"",$G53&lt;=$H53),"Running low","In stock")))</f>
        <v/>
      </c>
    </row>
    <row r="54">
      <c r="F54" s="3">
        <f>IF($D54&gt;0,$E54/$D54,"")</f>
        <v/>
      </c>
      <c r="G54" s="3">
        <f>IF($D54="","",$D54-SUMIF(SKU_MATERIALS!$D:$D,$A54,SKU_MATERIALS!$F:$F))</f>
        <v/>
      </c>
      <c r="I54" s="3">
        <f>IF($G54="","",IF($G54&lt;=0,"Out of stock",IF(AND($H54&lt;&gt;"",$G54&lt;=$H54),"Running low","In stock")))</f>
        <v/>
      </c>
    </row>
    <row r="55">
      <c r="F55" s="3">
        <f>IF($D55&gt;0,$E55/$D55,"")</f>
        <v/>
      </c>
      <c r="G55" s="3">
        <f>IF($D55="","",$D55-SUMIF(SKU_MATERIALS!$D:$D,$A55,SKU_MATERIALS!$F:$F))</f>
        <v/>
      </c>
      <c r="I55" s="3">
        <f>IF($G55="","",IF($G55&lt;=0,"Out of stock",IF(AND($H55&lt;&gt;"",$G55&lt;=$H55),"Running low","In stock")))</f>
        <v/>
      </c>
    </row>
    <row r="56">
      <c r="F56" s="3">
        <f>IF($D56&gt;0,$E56/$D56,"")</f>
        <v/>
      </c>
      <c r="G56" s="3">
        <f>IF($D56="","",$D56-SUMIF(SKU_MATERIALS!$D:$D,$A56,SKU_MATERIALS!$F:$F))</f>
        <v/>
      </c>
      <c r="I56" s="3">
        <f>IF($G56="","",IF($G56&lt;=0,"Out of stock",IF(AND($H56&lt;&gt;"",$G56&lt;=$H56),"Running low","In stock")))</f>
        <v/>
      </c>
    </row>
    <row r="57">
      <c r="F57" s="3">
        <f>IF($D57&gt;0,$E57/$D57,"")</f>
        <v/>
      </c>
      <c r="G57" s="3">
        <f>IF($D57="","",$D57-SUMIF(SKU_MATERIALS!$D:$D,$A57,SKU_MATERIALS!$F:$F))</f>
        <v/>
      </c>
      <c r="I57" s="3">
        <f>IF($G57="","",IF($G57&lt;=0,"Out of stock",IF(AND($H57&lt;&gt;"",$G57&lt;=$H57),"Running low","In stock")))</f>
        <v/>
      </c>
    </row>
    <row r="58">
      <c r="F58" s="3">
        <f>IF($D58&gt;0,$E58/$D58,"")</f>
        <v/>
      </c>
      <c r="G58" s="3">
        <f>IF($D58="","",$D58-SUMIF(SKU_MATERIALS!$D:$D,$A58,SKU_MATERIALS!$F:$F))</f>
        <v/>
      </c>
      <c r="I58" s="3">
        <f>IF($G58="","",IF($G58&lt;=0,"Out of stock",IF(AND($H58&lt;&gt;"",$G58&lt;=$H58),"Running low","In stock")))</f>
        <v/>
      </c>
    </row>
    <row r="59">
      <c r="F59" s="3">
        <f>IF($D59&gt;0,$E59/$D59,"")</f>
        <v/>
      </c>
      <c r="G59" s="3">
        <f>IF($D59="","",$D59-SUMIF(SKU_MATERIALS!$D:$D,$A59,SKU_MATERIALS!$F:$F))</f>
        <v/>
      </c>
      <c r="I59" s="3">
        <f>IF($G59="","",IF($G59&lt;=0,"Out of stock",IF(AND($H59&lt;&gt;"",$G59&lt;=$H59),"Running low","In stock")))</f>
        <v/>
      </c>
    </row>
    <row r="60">
      <c r="F60" s="3">
        <f>IF($D60&gt;0,$E60/$D60,"")</f>
        <v/>
      </c>
      <c r="G60" s="3">
        <f>IF($D60="","",$D60-SUMIF(SKU_MATERIALS!$D:$D,$A60,SKU_MATERIALS!$F:$F))</f>
        <v/>
      </c>
      <c r="I60" s="3">
        <f>IF($G60="","",IF($G60&lt;=0,"Out of stock",IF(AND($H60&lt;&gt;"",$G60&lt;=$H60),"Running low","In stock")))</f>
        <v/>
      </c>
    </row>
    <row r="61">
      <c r="F61" s="3">
        <f>IF($D61&gt;0,$E61/$D61,"")</f>
        <v/>
      </c>
      <c r="G61" s="3">
        <f>IF($D61="","",$D61-SUMIF(SKU_MATERIALS!$D:$D,$A61,SKU_MATERIALS!$F:$F))</f>
        <v/>
      </c>
      <c r="I61" s="3">
        <f>IF($G61="","",IF($G61&lt;=0,"Out of stock",IF(AND($H61&lt;&gt;"",$G61&lt;=$H61),"Running low","In stock")))</f>
        <v/>
      </c>
    </row>
    <row r="62">
      <c r="F62" s="3">
        <f>IF($D62&gt;0,$E62/$D62,"")</f>
        <v/>
      </c>
      <c r="G62" s="3">
        <f>IF($D62="","",$D62-SUMIF(SKU_MATERIALS!$D:$D,$A62,SKU_MATERIALS!$F:$F))</f>
        <v/>
      </c>
      <c r="I62" s="3">
        <f>IF($G62="","",IF($G62&lt;=0,"Out of stock",IF(AND($H62&lt;&gt;"",$G62&lt;=$H62),"Running low","In stock")))</f>
        <v/>
      </c>
    </row>
    <row r="63">
      <c r="F63" s="3">
        <f>IF($D63&gt;0,$E63/$D63,"")</f>
        <v/>
      </c>
      <c r="G63" s="3">
        <f>IF($D63="","",$D63-SUMIF(SKU_MATERIALS!$D:$D,$A63,SKU_MATERIALS!$F:$F))</f>
        <v/>
      </c>
      <c r="I63" s="3">
        <f>IF($G63="","",IF($G63&lt;=0,"Out of stock",IF(AND($H63&lt;&gt;"",$G63&lt;=$H63),"Running low","In stock")))</f>
        <v/>
      </c>
    </row>
    <row r="64">
      <c r="F64" s="3">
        <f>IF($D64&gt;0,$E64/$D64,"")</f>
        <v/>
      </c>
      <c r="G64" s="3">
        <f>IF($D64="","",$D64-SUMIF(SKU_MATERIALS!$D:$D,$A64,SKU_MATERIALS!$F:$F))</f>
        <v/>
      </c>
      <c r="I64" s="3">
        <f>IF($G64="","",IF($G64&lt;=0,"Out of stock",IF(AND($H64&lt;&gt;"",$G64&lt;=$H64),"Running low","In stock")))</f>
        <v/>
      </c>
    </row>
    <row r="65">
      <c r="F65" s="3">
        <f>IF($D65&gt;0,$E65/$D65,"")</f>
        <v/>
      </c>
      <c r="G65" s="3">
        <f>IF($D65="","",$D65-SUMIF(SKU_MATERIALS!$D:$D,$A65,SKU_MATERIALS!$F:$F))</f>
        <v/>
      </c>
      <c r="I65" s="3">
        <f>IF($G65="","",IF($G65&lt;=0,"Out of stock",IF(AND($H65&lt;&gt;"",$G65&lt;=$H65),"Running low","In stock")))</f>
        <v/>
      </c>
    </row>
    <row r="66">
      <c r="F66" s="3">
        <f>IF($D66&gt;0,$E66/$D66,"")</f>
        <v/>
      </c>
      <c r="G66" s="3">
        <f>IF($D66="","",$D66-SUMIF(SKU_MATERIALS!$D:$D,$A66,SKU_MATERIALS!$F:$F))</f>
        <v/>
      </c>
      <c r="I66" s="3">
        <f>IF($G66="","",IF($G66&lt;=0,"Out of stock",IF(AND($H66&lt;&gt;"",$G66&lt;=$H66),"Running low","In stock")))</f>
        <v/>
      </c>
    </row>
    <row r="67">
      <c r="F67" s="3">
        <f>IF($D67&gt;0,$E67/$D67,"")</f>
        <v/>
      </c>
      <c r="G67" s="3">
        <f>IF($D67="","",$D67-SUMIF(SKU_MATERIALS!$D:$D,$A67,SKU_MATERIALS!$F:$F))</f>
        <v/>
      </c>
      <c r="I67" s="3">
        <f>IF($G67="","",IF($G67&lt;=0,"Out of stock",IF(AND($H67&lt;&gt;"",$G67&lt;=$H67),"Running low","In stock")))</f>
        <v/>
      </c>
    </row>
    <row r="68">
      <c r="F68" s="3">
        <f>IF($D68&gt;0,$E68/$D68,"")</f>
        <v/>
      </c>
      <c r="G68" s="3">
        <f>IF($D68="","",$D68-SUMIF(SKU_MATERIALS!$D:$D,$A68,SKU_MATERIALS!$F:$F))</f>
        <v/>
      </c>
      <c r="I68" s="3">
        <f>IF($G68="","",IF($G68&lt;=0,"Out of stock",IF(AND($H68&lt;&gt;"",$G68&lt;=$H68),"Running low","In stock")))</f>
        <v/>
      </c>
    </row>
    <row r="69">
      <c r="F69" s="3">
        <f>IF($D69&gt;0,$E69/$D69,"")</f>
        <v/>
      </c>
      <c r="G69" s="3">
        <f>IF($D69="","",$D69-SUMIF(SKU_MATERIALS!$D:$D,$A69,SKU_MATERIALS!$F:$F))</f>
        <v/>
      </c>
      <c r="I69" s="3">
        <f>IF($G69="","",IF($G69&lt;=0,"Out of stock",IF(AND($H69&lt;&gt;"",$G69&lt;=$H69),"Running low","In stock")))</f>
        <v/>
      </c>
    </row>
    <row r="70">
      <c r="F70" s="3">
        <f>IF($D70&gt;0,$E70/$D70,"")</f>
        <v/>
      </c>
      <c r="G70" s="3">
        <f>IF($D70="","",$D70-SUMIF(SKU_MATERIALS!$D:$D,$A70,SKU_MATERIALS!$F:$F))</f>
        <v/>
      </c>
      <c r="I70" s="3">
        <f>IF($G70="","",IF($G70&lt;=0,"Out of stock",IF(AND($H70&lt;&gt;"",$G70&lt;=$H70),"Running low","In stock")))</f>
        <v/>
      </c>
    </row>
    <row r="71">
      <c r="F71" s="3">
        <f>IF($D71&gt;0,$E71/$D71,"")</f>
        <v/>
      </c>
      <c r="G71" s="3">
        <f>IF($D71="","",$D71-SUMIF(SKU_MATERIALS!$D:$D,$A71,SKU_MATERIALS!$F:$F))</f>
        <v/>
      </c>
      <c r="I71" s="3">
        <f>IF($G71="","",IF($G71&lt;=0,"Out of stock",IF(AND($H71&lt;&gt;"",$G71&lt;=$H71),"Running low","In stock")))</f>
        <v/>
      </c>
    </row>
    <row r="72">
      <c r="F72" s="3">
        <f>IF($D72&gt;0,$E72/$D72,"")</f>
        <v/>
      </c>
      <c r="G72" s="3">
        <f>IF($D72="","",$D72-SUMIF(SKU_MATERIALS!$D:$D,$A72,SKU_MATERIALS!$F:$F))</f>
        <v/>
      </c>
      <c r="I72" s="3">
        <f>IF($G72="","",IF($G72&lt;=0,"Out of stock",IF(AND($H72&lt;&gt;"",$G72&lt;=$H72),"Running low","In stock")))</f>
        <v/>
      </c>
    </row>
    <row r="73">
      <c r="F73" s="3">
        <f>IF($D73&gt;0,$E73/$D73,"")</f>
        <v/>
      </c>
      <c r="G73" s="3">
        <f>IF($D73="","",$D73-SUMIF(SKU_MATERIALS!$D:$D,$A73,SKU_MATERIALS!$F:$F))</f>
        <v/>
      </c>
      <c r="I73" s="3">
        <f>IF($G73="","",IF($G73&lt;=0,"Out of stock",IF(AND($H73&lt;&gt;"",$G73&lt;=$H73),"Running low","In stock")))</f>
        <v/>
      </c>
    </row>
    <row r="74">
      <c r="F74" s="3">
        <f>IF($D74&gt;0,$E74/$D74,"")</f>
        <v/>
      </c>
      <c r="G74" s="3">
        <f>IF($D74="","",$D74-SUMIF(SKU_MATERIALS!$D:$D,$A74,SKU_MATERIALS!$F:$F))</f>
        <v/>
      </c>
      <c r="I74" s="3">
        <f>IF($G74="","",IF($G74&lt;=0,"Out of stock",IF(AND($H74&lt;&gt;"",$G74&lt;=$H74),"Running low","In stock")))</f>
        <v/>
      </c>
    </row>
    <row r="75">
      <c r="F75" s="3">
        <f>IF($D75&gt;0,$E75/$D75,"")</f>
        <v/>
      </c>
      <c r="G75" s="3">
        <f>IF($D75="","",$D75-SUMIF(SKU_MATERIALS!$D:$D,$A75,SKU_MATERIALS!$F:$F))</f>
        <v/>
      </c>
      <c r="I75" s="3">
        <f>IF($G75="","",IF($G75&lt;=0,"Out of stock",IF(AND($H75&lt;&gt;"",$G75&lt;=$H75),"Running low","In stock")))</f>
        <v/>
      </c>
    </row>
    <row r="76">
      <c r="F76" s="3">
        <f>IF($D76&gt;0,$E76/$D76,"")</f>
        <v/>
      </c>
      <c r="G76" s="3">
        <f>IF($D76="","",$D76-SUMIF(SKU_MATERIALS!$D:$D,$A76,SKU_MATERIALS!$F:$F))</f>
        <v/>
      </c>
      <c r="I76" s="3">
        <f>IF($G76="","",IF($G76&lt;=0,"Out of stock",IF(AND($H76&lt;&gt;"",$G76&lt;=$H76),"Running low","In stock")))</f>
        <v/>
      </c>
    </row>
    <row r="77">
      <c r="F77" s="3">
        <f>IF($D77&gt;0,$E77/$D77,"")</f>
        <v/>
      </c>
      <c r="G77" s="3">
        <f>IF($D77="","",$D77-SUMIF(SKU_MATERIALS!$D:$D,$A77,SKU_MATERIALS!$F:$F))</f>
        <v/>
      </c>
      <c r="I77" s="3">
        <f>IF($G77="","",IF($G77&lt;=0,"Out of stock",IF(AND($H77&lt;&gt;"",$G77&lt;=$H77),"Running low","In stock")))</f>
        <v/>
      </c>
    </row>
    <row r="78">
      <c r="F78" s="3">
        <f>IF($D78&gt;0,$E78/$D78,"")</f>
        <v/>
      </c>
      <c r="G78" s="3">
        <f>IF($D78="","",$D78-SUMIF(SKU_MATERIALS!$D:$D,$A78,SKU_MATERIALS!$F:$F))</f>
        <v/>
      </c>
      <c r="I78" s="3">
        <f>IF($G78="","",IF($G78&lt;=0,"Out of stock",IF(AND($H78&lt;&gt;"",$G78&lt;=$H78),"Running low","In stock")))</f>
        <v/>
      </c>
    </row>
    <row r="79">
      <c r="F79" s="3">
        <f>IF($D79&gt;0,$E79/$D79,"")</f>
        <v/>
      </c>
      <c r="G79" s="3">
        <f>IF($D79="","",$D79-SUMIF(SKU_MATERIALS!$D:$D,$A79,SKU_MATERIALS!$F:$F))</f>
        <v/>
      </c>
      <c r="I79" s="3">
        <f>IF($G79="","",IF($G79&lt;=0,"Out of stock",IF(AND($H79&lt;&gt;"",$G79&lt;=$H79),"Running low","In stock")))</f>
        <v/>
      </c>
    </row>
    <row r="80">
      <c r="F80" s="3">
        <f>IF($D80&gt;0,$E80/$D80,"")</f>
        <v/>
      </c>
      <c r="G80" s="3">
        <f>IF($D80="","",$D80-SUMIF(SKU_MATERIALS!$D:$D,$A80,SKU_MATERIALS!$F:$F))</f>
        <v/>
      </c>
      <c r="I80" s="3">
        <f>IF($G80="","",IF($G80&lt;=0,"Out of stock",IF(AND($H80&lt;&gt;"",$G80&lt;=$H80),"Running low","In stock")))</f>
        <v/>
      </c>
    </row>
  </sheetData>
  <dataValidations count="3">
    <dataValidation sqref="B2:B80" showDropDown="0" showInputMessage="0" showErrorMessage="0" allowBlank="1" type="list">
      <formula1>"Fabric,Thread,Paint,Dye,Button,Trim,Packaging,Article,Other"</formula1>
    </dataValidation>
    <dataValidation sqref="C2:C80" showDropDown="0" showInputMessage="0" showErrorMessage="0" allowBlank="1" type="list">
      <formula1>"metre,spool,jar,piece,packet,kg,set"</formula1>
    </dataValidation>
    <dataValidation sqref="J2:J8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date</t>
        </is>
      </c>
      <c r="B1" s="1" t="inlineStr">
        <is>
          <t>sku</t>
        </is>
      </c>
      <c r="C1" s="1" t="inlineStr">
        <is>
          <t>style_family</t>
        </is>
      </c>
      <c r="D1" s="1" t="inlineStr">
        <is>
          <t>material</t>
        </is>
      </c>
      <c r="E1" s="1" t="inlineStr">
        <is>
          <t>use_type</t>
        </is>
      </c>
      <c r="F1" s="1" t="inlineStr">
        <is>
          <t>qty_used</t>
        </is>
      </c>
      <c r="G1" s="1" t="inlineStr">
        <is>
          <t>unit</t>
        </is>
      </c>
      <c r="H1" s="1" t="inlineStr">
        <is>
          <t>rate</t>
        </is>
      </c>
      <c r="I1" s="1" t="inlineStr">
        <is>
          <t>cost</t>
        </is>
      </c>
      <c r="J1" s="1" t="inlineStr">
        <is>
          <t>notes</t>
        </is>
      </c>
    </row>
    <row r="2">
      <c r="A2" s="2" t="inlineStr">
        <is>
          <t>02/07/2026</t>
        </is>
      </c>
      <c r="B2" s="2" t="inlineStr">
        <is>
          <t>HB1HE-HH</t>
        </is>
      </c>
      <c r="C2" s="3">
        <f>IFERROR(VLOOKUP($B2,INVENTORY!$A:$B,2,FALSE),"")</f>
        <v/>
      </c>
      <c r="D2" s="2" t="inlineStr">
        <is>
          <t>Bamboo</t>
        </is>
      </c>
      <c r="E2" s="2" t="inlineStr">
        <is>
          <t>Production</t>
        </is>
      </c>
      <c r="F2" s="2" t="n">
        <v>6</v>
      </c>
      <c r="G2" s="3">
        <f>IFERROR(VLOOKUP($D2,MATERIALS!$A:$C,3,FALSE),"")</f>
        <v/>
      </c>
      <c r="H2" s="3">
        <f>IFERROR(VLOOKUP($D2,MATERIALS!$A:$F,6,FALSE),"")</f>
        <v/>
      </c>
      <c r="I2" s="3">
        <f>IF(AND($F2&lt;&gt;"",$H2&lt;&gt;""),$F2*$H2,"")</f>
        <v/>
      </c>
      <c r="J2" s="2" t="inlineStr">
        <is>
          <t>shirt body</t>
        </is>
      </c>
    </row>
    <row r="3">
      <c r="A3" s="2" t="inlineStr">
        <is>
          <t>28/06/2026</t>
        </is>
      </c>
      <c r="B3" s="2" t="inlineStr"/>
      <c r="C3" s="3">
        <f>IFERROR(VLOOKUP($B3,INVENTORY!$A:$B,2,FALSE),"")</f>
        <v/>
      </c>
      <c r="D3" s="2" t="inlineStr">
        <is>
          <t>Bamboo</t>
        </is>
      </c>
      <c r="E3" s="2" t="inlineStr">
        <is>
          <t>R&amp;D</t>
        </is>
      </c>
      <c r="F3" s="2" t="n">
        <v>3</v>
      </c>
      <c r="G3" s="3">
        <f>IFERROR(VLOOKUP($D3,MATERIALS!$A:$C,3,FALSE),"")</f>
        <v/>
      </c>
      <c r="H3" s="3">
        <f>IFERROR(VLOOKUP($D3,MATERIALS!$A:$F,6,FALSE),"")</f>
        <v/>
      </c>
      <c r="I3" s="3">
        <f>IF(AND($F3&lt;&gt;"",$H3&lt;&gt;""),$F3*$H3,"")</f>
        <v/>
      </c>
      <c r="J3" s="2" t="inlineStr">
        <is>
          <t>sampling</t>
        </is>
      </c>
    </row>
    <row r="4">
      <c r="C4" s="3">
        <f>IFERROR(VLOOKUP($B4,INVENTORY!$A:$B,2,FALSE),"")</f>
        <v/>
      </c>
      <c r="G4" s="3">
        <f>IFERROR(VLOOKUP($D4,MATERIALS!$A:$C,3,FALSE),"")</f>
        <v/>
      </c>
      <c r="H4" s="3">
        <f>IFERROR(VLOOKUP($D4,MATERIALS!$A:$F,6,FALSE),"")</f>
        <v/>
      </c>
      <c r="I4" s="3">
        <f>IF(AND($F4&lt;&gt;"",$H4&lt;&gt;""),$F4*$H4,"")</f>
        <v/>
      </c>
    </row>
    <row r="5">
      <c r="C5" s="3">
        <f>IFERROR(VLOOKUP($B5,INVENTORY!$A:$B,2,FALSE),"")</f>
        <v/>
      </c>
      <c r="G5" s="3">
        <f>IFERROR(VLOOKUP($D5,MATERIALS!$A:$C,3,FALSE),"")</f>
        <v/>
      </c>
      <c r="H5" s="3">
        <f>IFERROR(VLOOKUP($D5,MATERIALS!$A:$F,6,FALSE),"")</f>
        <v/>
      </c>
      <c r="I5" s="3">
        <f>IF(AND($F5&lt;&gt;"",$H5&lt;&gt;""),$F5*$H5,"")</f>
        <v/>
      </c>
    </row>
    <row r="6">
      <c r="C6" s="3">
        <f>IFERROR(VLOOKUP($B6,INVENTORY!$A:$B,2,FALSE),"")</f>
        <v/>
      </c>
      <c r="G6" s="3">
        <f>IFERROR(VLOOKUP($D6,MATERIALS!$A:$C,3,FALSE),"")</f>
        <v/>
      </c>
      <c r="H6" s="3">
        <f>IFERROR(VLOOKUP($D6,MATERIALS!$A:$F,6,FALSE),"")</f>
        <v/>
      </c>
      <c r="I6" s="3">
        <f>IF(AND($F6&lt;&gt;"",$H6&lt;&gt;""),$F6*$H6,"")</f>
        <v/>
      </c>
    </row>
    <row r="7">
      <c r="C7" s="3">
        <f>IFERROR(VLOOKUP($B7,INVENTORY!$A:$B,2,FALSE),"")</f>
        <v/>
      </c>
      <c r="G7" s="3">
        <f>IFERROR(VLOOKUP($D7,MATERIALS!$A:$C,3,FALSE),"")</f>
        <v/>
      </c>
      <c r="H7" s="3">
        <f>IFERROR(VLOOKUP($D7,MATERIALS!$A:$F,6,FALSE),"")</f>
        <v/>
      </c>
      <c r="I7" s="3">
        <f>IF(AND($F7&lt;&gt;"",$H7&lt;&gt;""),$F7*$H7,"")</f>
        <v/>
      </c>
    </row>
    <row r="8">
      <c r="C8" s="3">
        <f>IFERROR(VLOOKUP($B8,INVENTORY!$A:$B,2,FALSE),"")</f>
        <v/>
      </c>
      <c r="G8" s="3">
        <f>IFERROR(VLOOKUP($D8,MATERIALS!$A:$C,3,FALSE),"")</f>
        <v/>
      </c>
      <c r="H8" s="3">
        <f>IFERROR(VLOOKUP($D8,MATERIALS!$A:$F,6,FALSE),"")</f>
        <v/>
      </c>
      <c r="I8" s="3">
        <f>IF(AND($F8&lt;&gt;"",$H8&lt;&gt;""),$F8*$H8,"")</f>
        <v/>
      </c>
    </row>
    <row r="9">
      <c r="C9" s="3">
        <f>IFERROR(VLOOKUP($B9,INVENTORY!$A:$B,2,FALSE),"")</f>
        <v/>
      </c>
      <c r="G9" s="3">
        <f>IFERROR(VLOOKUP($D9,MATERIALS!$A:$C,3,FALSE),"")</f>
        <v/>
      </c>
      <c r="H9" s="3">
        <f>IFERROR(VLOOKUP($D9,MATERIALS!$A:$F,6,FALSE),"")</f>
        <v/>
      </c>
      <c r="I9" s="3">
        <f>IF(AND($F9&lt;&gt;"",$H9&lt;&gt;""),$F9*$H9,"")</f>
        <v/>
      </c>
    </row>
    <row r="10">
      <c r="C10" s="3">
        <f>IFERROR(VLOOKUP($B10,INVENTORY!$A:$B,2,FALSE),"")</f>
        <v/>
      </c>
      <c r="G10" s="3">
        <f>IFERROR(VLOOKUP($D10,MATERIALS!$A:$C,3,FALSE),"")</f>
        <v/>
      </c>
      <c r="H10" s="3">
        <f>IFERROR(VLOOKUP($D10,MATERIALS!$A:$F,6,FALSE),"")</f>
        <v/>
      </c>
      <c r="I10" s="3">
        <f>IF(AND($F10&lt;&gt;"",$H10&lt;&gt;""),$F10*$H10,"")</f>
        <v/>
      </c>
    </row>
    <row r="11">
      <c r="C11" s="3">
        <f>IFERROR(VLOOKUP($B11,INVENTORY!$A:$B,2,FALSE),"")</f>
        <v/>
      </c>
      <c r="G11" s="3">
        <f>IFERROR(VLOOKUP($D11,MATERIALS!$A:$C,3,FALSE),"")</f>
        <v/>
      </c>
      <c r="H11" s="3">
        <f>IFERROR(VLOOKUP($D11,MATERIALS!$A:$F,6,FALSE),"")</f>
        <v/>
      </c>
      <c r="I11" s="3">
        <f>IF(AND($F11&lt;&gt;"",$H11&lt;&gt;""),$F11*$H11,"")</f>
        <v/>
      </c>
    </row>
    <row r="12">
      <c r="C12" s="3">
        <f>IFERROR(VLOOKUP($B12,INVENTORY!$A:$B,2,FALSE),"")</f>
        <v/>
      </c>
      <c r="G12" s="3">
        <f>IFERROR(VLOOKUP($D12,MATERIALS!$A:$C,3,FALSE),"")</f>
        <v/>
      </c>
      <c r="H12" s="3">
        <f>IFERROR(VLOOKUP($D12,MATERIALS!$A:$F,6,FALSE),"")</f>
        <v/>
      </c>
      <c r="I12" s="3">
        <f>IF(AND($F12&lt;&gt;"",$H12&lt;&gt;""),$F12*$H12,"")</f>
        <v/>
      </c>
    </row>
    <row r="13">
      <c r="C13" s="3">
        <f>IFERROR(VLOOKUP($B13,INVENTORY!$A:$B,2,FALSE),"")</f>
        <v/>
      </c>
      <c r="G13" s="3">
        <f>IFERROR(VLOOKUP($D13,MATERIALS!$A:$C,3,FALSE),"")</f>
        <v/>
      </c>
      <c r="H13" s="3">
        <f>IFERROR(VLOOKUP($D13,MATERIALS!$A:$F,6,FALSE),"")</f>
        <v/>
      </c>
      <c r="I13" s="3">
        <f>IF(AND($F13&lt;&gt;"",$H13&lt;&gt;""),$F13*$H13,"")</f>
        <v/>
      </c>
    </row>
    <row r="14">
      <c r="C14" s="3">
        <f>IFERROR(VLOOKUP($B14,INVENTORY!$A:$B,2,FALSE),"")</f>
        <v/>
      </c>
      <c r="G14" s="3">
        <f>IFERROR(VLOOKUP($D14,MATERIALS!$A:$C,3,FALSE),"")</f>
        <v/>
      </c>
      <c r="H14" s="3">
        <f>IFERROR(VLOOKUP($D14,MATERIALS!$A:$F,6,FALSE),"")</f>
        <v/>
      </c>
      <c r="I14" s="3">
        <f>IF(AND($F14&lt;&gt;"",$H14&lt;&gt;""),$F14*$H14,"")</f>
        <v/>
      </c>
    </row>
    <row r="15">
      <c r="C15" s="3">
        <f>IFERROR(VLOOKUP($B15,INVENTORY!$A:$B,2,FALSE),"")</f>
        <v/>
      </c>
      <c r="G15" s="3">
        <f>IFERROR(VLOOKUP($D15,MATERIALS!$A:$C,3,FALSE),"")</f>
        <v/>
      </c>
      <c r="H15" s="3">
        <f>IFERROR(VLOOKUP($D15,MATERIALS!$A:$F,6,FALSE),"")</f>
        <v/>
      </c>
      <c r="I15" s="3">
        <f>IF(AND($F15&lt;&gt;"",$H15&lt;&gt;""),$F15*$H15,"")</f>
        <v/>
      </c>
    </row>
    <row r="16">
      <c r="C16" s="3">
        <f>IFERROR(VLOOKUP($B16,INVENTORY!$A:$B,2,FALSE),"")</f>
        <v/>
      </c>
      <c r="G16" s="3">
        <f>IFERROR(VLOOKUP($D16,MATERIALS!$A:$C,3,FALSE),"")</f>
        <v/>
      </c>
      <c r="H16" s="3">
        <f>IFERROR(VLOOKUP($D16,MATERIALS!$A:$F,6,FALSE),"")</f>
        <v/>
      </c>
      <c r="I16" s="3">
        <f>IF(AND($F16&lt;&gt;"",$H16&lt;&gt;""),$F16*$H16,"")</f>
        <v/>
      </c>
    </row>
    <row r="17">
      <c r="C17" s="3">
        <f>IFERROR(VLOOKUP($B17,INVENTORY!$A:$B,2,FALSE),"")</f>
        <v/>
      </c>
      <c r="G17" s="3">
        <f>IFERROR(VLOOKUP($D17,MATERIALS!$A:$C,3,FALSE),"")</f>
        <v/>
      </c>
      <c r="H17" s="3">
        <f>IFERROR(VLOOKUP($D17,MATERIALS!$A:$F,6,FALSE),"")</f>
        <v/>
      </c>
      <c r="I17" s="3">
        <f>IF(AND($F17&lt;&gt;"",$H17&lt;&gt;""),$F17*$H17,"")</f>
        <v/>
      </c>
    </row>
    <row r="18">
      <c r="C18" s="3">
        <f>IFERROR(VLOOKUP($B18,INVENTORY!$A:$B,2,FALSE),"")</f>
        <v/>
      </c>
      <c r="G18" s="3">
        <f>IFERROR(VLOOKUP($D18,MATERIALS!$A:$C,3,FALSE),"")</f>
        <v/>
      </c>
      <c r="H18" s="3">
        <f>IFERROR(VLOOKUP($D18,MATERIALS!$A:$F,6,FALSE),"")</f>
        <v/>
      </c>
      <c r="I18" s="3">
        <f>IF(AND($F18&lt;&gt;"",$H18&lt;&gt;""),$F18*$H18,"")</f>
        <v/>
      </c>
    </row>
    <row r="19">
      <c r="C19" s="3">
        <f>IFERROR(VLOOKUP($B19,INVENTORY!$A:$B,2,FALSE),"")</f>
        <v/>
      </c>
      <c r="G19" s="3">
        <f>IFERROR(VLOOKUP($D19,MATERIALS!$A:$C,3,FALSE),"")</f>
        <v/>
      </c>
      <c r="H19" s="3">
        <f>IFERROR(VLOOKUP($D19,MATERIALS!$A:$F,6,FALSE),"")</f>
        <v/>
      </c>
      <c r="I19" s="3">
        <f>IF(AND($F19&lt;&gt;"",$H19&lt;&gt;""),$F19*$H19,"")</f>
        <v/>
      </c>
    </row>
    <row r="20">
      <c r="C20" s="3">
        <f>IFERROR(VLOOKUP($B20,INVENTORY!$A:$B,2,FALSE),"")</f>
        <v/>
      </c>
      <c r="G20" s="3">
        <f>IFERROR(VLOOKUP($D20,MATERIALS!$A:$C,3,FALSE),"")</f>
        <v/>
      </c>
      <c r="H20" s="3">
        <f>IFERROR(VLOOKUP($D20,MATERIALS!$A:$F,6,FALSE),"")</f>
        <v/>
      </c>
      <c r="I20" s="3">
        <f>IF(AND($F20&lt;&gt;"",$H20&lt;&gt;""),$F20*$H20,"")</f>
        <v/>
      </c>
    </row>
    <row r="21">
      <c r="C21" s="3">
        <f>IFERROR(VLOOKUP($B21,INVENTORY!$A:$B,2,FALSE),"")</f>
        <v/>
      </c>
      <c r="G21" s="3">
        <f>IFERROR(VLOOKUP($D21,MATERIALS!$A:$C,3,FALSE),"")</f>
        <v/>
      </c>
      <c r="H21" s="3">
        <f>IFERROR(VLOOKUP($D21,MATERIALS!$A:$F,6,FALSE),"")</f>
        <v/>
      </c>
      <c r="I21" s="3">
        <f>IF(AND($F21&lt;&gt;"",$H21&lt;&gt;""),$F21*$H21,"")</f>
        <v/>
      </c>
    </row>
    <row r="22">
      <c r="C22" s="3">
        <f>IFERROR(VLOOKUP($B22,INVENTORY!$A:$B,2,FALSE),"")</f>
        <v/>
      </c>
      <c r="G22" s="3">
        <f>IFERROR(VLOOKUP($D22,MATERIALS!$A:$C,3,FALSE),"")</f>
        <v/>
      </c>
      <c r="H22" s="3">
        <f>IFERROR(VLOOKUP($D22,MATERIALS!$A:$F,6,FALSE),"")</f>
        <v/>
      </c>
      <c r="I22" s="3">
        <f>IF(AND($F22&lt;&gt;"",$H22&lt;&gt;""),$F22*$H22,"")</f>
        <v/>
      </c>
    </row>
    <row r="23">
      <c r="C23" s="3">
        <f>IFERROR(VLOOKUP($B23,INVENTORY!$A:$B,2,FALSE),"")</f>
        <v/>
      </c>
      <c r="G23" s="3">
        <f>IFERROR(VLOOKUP($D23,MATERIALS!$A:$C,3,FALSE),"")</f>
        <v/>
      </c>
      <c r="H23" s="3">
        <f>IFERROR(VLOOKUP($D23,MATERIALS!$A:$F,6,FALSE),"")</f>
        <v/>
      </c>
      <c r="I23" s="3">
        <f>IF(AND($F23&lt;&gt;"",$H23&lt;&gt;""),$F23*$H23,"")</f>
        <v/>
      </c>
    </row>
    <row r="24">
      <c r="C24" s="3">
        <f>IFERROR(VLOOKUP($B24,INVENTORY!$A:$B,2,FALSE),"")</f>
        <v/>
      </c>
      <c r="G24" s="3">
        <f>IFERROR(VLOOKUP($D24,MATERIALS!$A:$C,3,FALSE),"")</f>
        <v/>
      </c>
      <c r="H24" s="3">
        <f>IFERROR(VLOOKUP($D24,MATERIALS!$A:$F,6,FALSE),"")</f>
        <v/>
      </c>
      <c r="I24" s="3">
        <f>IF(AND($F24&lt;&gt;"",$H24&lt;&gt;""),$F24*$H24,"")</f>
        <v/>
      </c>
    </row>
    <row r="25">
      <c r="C25" s="3">
        <f>IFERROR(VLOOKUP($B25,INVENTORY!$A:$B,2,FALSE),"")</f>
        <v/>
      </c>
      <c r="G25" s="3">
        <f>IFERROR(VLOOKUP($D25,MATERIALS!$A:$C,3,FALSE),"")</f>
        <v/>
      </c>
      <c r="H25" s="3">
        <f>IFERROR(VLOOKUP($D25,MATERIALS!$A:$F,6,FALSE),"")</f>
        <v/>
      </c>
      <c r="I25" s="3">
        <f>IF(AND($F25&lt;&gt;"",$H25&lt;&gt;""),$F25*$H25,"")</f>
        <v/>
      </c>
    </row>
    <row r="26">
      <c r="C26" s="3">
        <f>IFERROR(VLOOKUP($B26,INVENTORY!$A:$B,2,FALSE),"")</f>
        <v/>
      </c>
      <c r="G26" s="3">
        <f>IFERROR(VLOOKUP($D26,MATERIALS!$A:$C,3,FALSE),"")</f>
        <v/>
      </c>
      <c r="H26" s="3">
        <f>IFERROR(VLOOKUP($D26,MATERIALS!$A:$F,6,FALSE),"")</f>
        <v/>
      </c>
      <c r="I26" s="3">
        <f>IF(AND($F26&lt;&gt;"",$H26&lt;&gt;""),$F26*$H26,"")</f>
        <v/>
      </c>
    </row>
    <row r="27">
      <c r="C27" s="3">
        <f>IFERROR(VLOOKUP($B27,INVENTORY!$A:$B,2,FALSE),"")</f>
        <v/>
      </c>
      <c r="G27" s="3">
        <f>IFERROR(VLOOKUP($D27,MATERIALS!$A:$C,3,FALSE),"")</f>
        <v/>
      </c>
      <c r="H27" s="3">
        <f>IFERROR(VLOOKUP($D27,MATERIALS!$A:$F,6,FALSE),"")</f>
        <v/>
      </c>
      <c r="I27" s="3">
        <f>IF(AND($F27&lt;&gt;"",$H27&lt;&gt;""),$F27*$H27,"")</f>
        <v/>
      </c>
    </row>
    <row r="28">
      <c r="C28" s="3">
        <f>IFERROR(VLOOKUP($B28,INVENTORY!$A:$B,2,FALSE),"")</f>
        <v/>
      </c>
      <c r="G28" s="3">
        <f>IFERROR(VLOOKUP($D28,MATERIALS!$A:$C,3,FALSE),"")</f>
        <v/>
      </c>
      <c r="H28" s="3">
        <f>IFERROR(VLOOKUP($D28,MATERIALS!$A:$F,6,FALSE),"")</f>
        <v/>
      </c>
      <c r="I28" s="3">
        <f>IF(AND($F28&lt;&gt;"",$H28&lt;&gt;""),$F28*$H28,"")</f>
        <v/>
      </c>
    </row>
    <row r="29">
      <c r="C29" s="3">
        <f>IFERROR(VLOOKUP($B29,INVENTORY!$A:$B,2,FALSE),"")</f>
        <v/>
      </c>
      <c r="G29" s="3">
        <f>IFERROR(VLOOKUP($D29,MATERIALS!$A:$C,3,FALSE),"")</f>
        <v/>
      </c>
      <c r="H29" s="3">
        <f>IFERROR(VLOOKUP($D29,MATERIALS!$A:$F,6,FALSE),"")</f>
        <v/>
      </c>
      <c r="I29" s="3">
        <f>IF(AND($F29&lt;&gt;"",$H29&lt;&gt;""),$F29*$H29,"")</f>
        <v/>
      </c>
    </row>
    <row r="30">
      <c r="C30" s="3">
        <f>IFERROR(VLOOKUP($B30,INVENTORY!$A:$B,2,FALSE),"")</f>
        <v/>
      </c>
      <c r="G30" s="3">
        <f>IFERROR(VLOOKUP($D30,MATERIALS!$A:$C,3,FALSE),"")</f>
        <v/>
      </c>
      <c r="H30" s="3">
        <f>IFERROR(VLOOKUP($D30,MATERIALS!$A:$F,6,FALSE),"")</f>
        <v/>
      </c>
      <c r="I30" s="3">
        <f>IF(AND($F30&lt;&gt;"",$H30&lt;&gt;""),$F30*$H30,"")</f>
        <v/>
      </c>
    </row>
    <row r="31">
      <c r="C31" s="3">
        <f>IFERROR(VLOOKUP($B31,INVENTORY!$A:$B,2,FALSE),"")</f>
        <v/>
      </c>
      <c r="G31" s="3">
        <f>IFERROR(VLOOKUP($D31,MATERIALS!$A:$C,3,FALSE),"")</f>
        <v/>
      </c>
      <c r="H31" s="3">
        <f>IFERROR(VLOOKUP($D31,MATERIALS!$A:$F,6,FALSE),"")</f>
        <v/>
      </c>
      <c r="I31" s="3">
        <f>IF(AND($F31&lt;&gt;"",$H31&lt;&gt;""),$F31*$H31,"")</f>
        <v/>
      </c>
    </row>
    <row r="32">
      <c r="C32" s="3">
        <f>IFERROR(VLOOKUP($B32,INVENTORY!$A:$B,2,FALSE),"")</f>
        <v/>
      </c>
      <c r="G32" s="3">
        <f>IFERROR(VLOOKUP($D32,MATERIALS!$A:$C,3,FALSE),"")</f>
        <v/>
      </c>
      <c r="H32" s="3">
        <f>IFERROR(VLOOKUP($D32,MATERIALS!$A:$F,6,FALSE),"")</f>
        <v/>
      </c>
      <c r="I32" s="3">
        <f>IF(AND($F32&lt;&gt;"",$H32&lt;&gt;""),$F32*$H32,"")</f>
        <v/>
      </c>
    </row>
    <row r="33">
      <c r="C33" s="3">
        <f>IFERROR(VLOOKUP($B33,INVENTORY!$A:$B,2,FALSE),"")</f>
        <v/>
      </c>
      <c r="G33" s="3">
        <f>IFERROR(VLOOKUP($D33,MATERIALS!$A:$C,3,FALSE),"")</f>
        <v/>
      </c>
      <c r="H33" s="3">
        <f>IFERROR(VLOOKUP($D33,MATERIALS!$A:$F,6,FALSE),"")</f>
        <v/>
      </c>
      <c r="I33" s="3">
        <f>IF(AND($F33&lt;&gt;"",$H33&lt;&gt;""),$F33*$H33,"")</f>
        <v/>
      </c>
    </row>
    <row r="34">
      <c r="C34" s="3">
        <f>IFERROR(VLOOKUP($B34,INVENTORY!$A:$B,2,FALSE),"")</f>
        <v/>
      </c>
      <c r="G34" s="3">
        <f>IFERROR(VLOOKUP($D34,MATERIALS!$A:$C,3,FALSE),"")</f>
        <v/>
      </c>
      <c r="H34" s="3">
        <f>IFERROR(VLOOKUP($D34,MATERIALS!$A:$F,6,FALSE),"")</f>
        <v/>
      </c>
      <c r="I34" s="3">
        <f>IF(AND($F34&lt;&gt;"",$H34&lt;&gt;""),$F34*$H34,"")</f>
        <v/>
      </c>
    </row>
    <row r="35">
      <c r="C35" s="3">
        <f>IFERROR(VLOOKUP($B35,INVENTORY!$A:$B,2,FALSE),"")</f>
        <v/>
      </c>
      <c r="G35" s="3">
        <f>IFERROR(VLOOKUP($D35,MATERIALS!$A:$C,3,FALSE),"")</f>
        <v/>
      </c>
      <c r="H35" s="3">
        <f>IFERROR(VLOOKUP($D35,MATERIALS!$A:$F,6,FALSE),"")</f>
        <v/>
      </c>
      <c r="I35" s="3">
        <f>IF(AND($F35&lt;&gt;"",$H35&lt;&gt;""),$F35*$H35,"")</f>
        <v/>
      </c>
    </row>
    <row r="36">
      <c r="C36" s="3">
        <f>IFERROR(VLOOKUP($B36,INVENTORY!$A:$B,2,FALSE),"")</f>
        <v/>
      </c>
      <c r="G36" s="3">
        <f>IFERROR(VLOOKUP($D36,MATERIALS!$A:$C,3,FALSE),"")</f>
        <v/>
      </c>
      <c r="H36" s="3">
        <f>IFERROR(VLOOKUP($D36,MATERIALS!$A:$F,6,FALSE),"")</f>
        <v/>
      </c>
      <c r="I36" s="3">
        <f>IF(AND($F36&lt;&gt;"",$H36&lt;&gt;""),$F36*$H36,"")</f>
        <v/>
      </c>
    </row>
    <row r="37">
      <c r="C37" s="3">
        <f>IFERROR(VLOOKUP($B37,INVENTORY!$A:$B,2,FALSE),"")</f>
        <v/>
      </c>
      <c r="G37" s="3">
        <f>IFERROR(VLOOKUP($D37,MATERIALS!$A:$C,3,FALSE),"")</f>
        <v/>
      </c>
      <c r="H37" s="3">
        <f>IFERROR(VLOOKUP($D37,MATERIALS!$A:$F,6,FALSE),"")</f>
        <v/>
      </c>
      <c r="I37" s="3">
        <f>IF(AND($F37&lt;&gt;"",$H37&lt;&gt;""),$F37*$H37,"")</f>
        <v/>
      </c>
    </row>
    <row r="38">
      <c r="C38" s="3">
        <f>IFERROR(VLOOKUP($B38,INVENTORY!$A:$B,2,FALSE),"")</f>
        <v/>
      </c>
      <c r="G38" s="3">
        <f>IFERROR(VLOOKUP($D38,MATERIALS!$A:$C,3,FALSE),"")</f>
        <v/>
      </c>
      <c r="H38" s="3">
        <f>IFERROR(VLOOKUP($D38,MATERIALS!$A:$F,6,FALSE),"")</f>
        <v/>
      </c>
      <c r="I38" s="3">
        <f>IF(AND($F38&lt;&gt;"",$H38&lt;&gt;""),$F38*$H38,"")</f>
        <v/>
      </c>
    </row>
    <row r="39">
      <c r="C39" s="3">
        <f>IFERROR(VLOOKUP($B39,INVENTORY!$A:$B,2,FALSE),"")</f>
        <v/>
      </c>
      <c r="G39" s="3">
        <f>IFERROR(VLOOKUP($D39,MATERIALS!$A:$C,3,FALSE),"")</f>
        <v/>
      </c>
      <c r="H39" s="3">
        <f>IFERROR(VLOOKUP($D39,MATERIALS!$A:$F,6,FALSE),"")</f>
        <v/>
      </c>
      <c r="I39" s="3">
        <f>IF(AND($F39&lt;&gt;"",$H39&lt;&gt;""),$F39*$H39,"")</f>
        <v/>
      </c>
    </row>
    <row r="40">
      <c r="C40" s="3">
        <f>IFERROR(VLOOKUP($B40,INVENTORY!$A:$B,2,FALSE),"")</f>
        <v/>
      </c>
      <c r="G40" s="3">
        <f>IFERROR(VLOOKUP($D40,MATERIALS!$A:$C,3,FALSE),"")</f>
        <v/>
      </c>
      <c r="H40" s="3">
        <f>IFERROR(VLOOKUP($D40,MATERIALS!$A:$F,6,FALSE),"")</f>
        <v/>
      </c>
      <c r="I40" s="3">
        <f>IF(AND($F40&lt;&gt;"",$H40&lt;&gt;""),$F40*$H40,"")</f>
        <v/>
      </c>
    </row>
    <row r="41">
      <c r="C41" s="3">
        <f>IFERROR(VLOOKUP($B41,INVENTORY!$A:$B,2,FALSE),"")</f>
        <v/>
      </c>
      <c r="G41" s="3">
        <f>IFERROR(VLOOKUP($D41,MATERIALS!$A:$C,3,FALSE),"")</f>
        <v/>
      </c>
      <c r="H41" s="3">
        <f>IFERROR(VLOOKUP($D41,MATERIALS!$A:$F,6,FALSE),"")</f>
        <v/>
      </c>
      <c r="I41" s="3">
        <f>IF(AND($F41&lt;&gt;"",$H41&lt;&gt;""),$F41*$H41,"")</f>
        <v/>
      </c>
    </row>
    <row r="42">
      <c r="C42" s="3">
        <f>IFERROR(VLOOKUP($B42,INVENTORY!$A:$B,2,FALSE),"")</f>
        <v/>
      </c>
      <c r="G42" s="3">
        <f>IFERROR(VLOOKUP($D42,MATERIALS!$A:$C,3,FALSE),"")</f>
        <v/>
      </c>
      <c r="H42" s="3">
        <f>IFERROR(VLOOKUP($D42,MATERIALS!$A:$F,6,FALSE),"")</f>
        <v/>
      </c>
      <c r="I42" s="3">
        <f>IF(AND($F42&lt;&gt;"",$H42&lt;&gt;""),$F42*$H42,"")</f>
        <v/>
      </c>
    </row>
    <row r="43">
      <c r="C43" s="3">
        <f>IFERROR(VLOOKUP($B43,INVENTORY!$A:$B,2,FALSE),"")</f>
        <v/>
      </c>
      <c r="G43" s="3">
        <f>IFERROR(VLOOKUP($D43,MATERIALS!$A:$C,3,FALSE),"")</f>
        <v/>
      </c>
      <c r="H43" s="3">
        <f>IFERROR(VLOOKUP($D43,MATERIALS!$A:$F,6,FALSE),"")</f>
        <v/>
      </c>
      <c r="I43" s="3">
        <f>IF(AND($F43&lt;&gt;"",$H43&lt;&gt;""),$F43*$H43,"")</f>
        <v/>
      </c>
    </row>
    <row r="44">
      <c r="C44" s="3">
        <f>IFERROR(VLOOKUP($B44,INVENTORY!$A:$B,2,FALSE),"")</f>
        <v/>
      </c>
      <c r="G44" s="3">
        <f>IFERROR(VLOOKUP($D44,MATERIALS!$A:$C,3,FALSE),"")</f>
        <v/>
      </c>
      <c r="H44" s="3">
        <f>IFERROR(VLOOKUP($D44,MATERIALS!$A:$F,6,FALSE),"")</f>
        <v/>
      </c>
      <c r="I44" s="3">
        <f>IF(AND($F44&lt;&gt;"",$H44&lt;&gt;""),$F44*$H44,"")</f>
        <v/>
      </c>
    </row>
    <row r="45">
      <c r="C45" s="3">
        <f>IFERROR(VLOOKUP($B45,INVENTORY!$A:$B,2,FALSE),"")</f>
        <v/>
      </c>
      <c r="G45" s="3">
        <f>IFERROR(VLOOKUP($D45,MATERIALS!$A:$C,3,FALSE),"")</f>
        <v/>
      </c>
      <c r="H45" s="3">
        <f>IFERROR(VLOOKUP($D45,MATERIALS!$A:$F,6,FALSE),"")</f>
        <v/>
      </c>
      <c r="I45" s="3">
        <f>IF(AND($F45&lt;&gt;"",$H45&lt;&gt;""),$F45*$H45,"")</f>
        <v/>
      </c>
    </row>
    <row r="46">
      <c r="C46" s="3">
        <f>IFERROR(VLOOKUP($B46,INVENTORY!$A:$B,2,FALSE),"")</f>
        <v/>
      </c>
      <c r="G46" s="3">
        <f>IFERROR(VLOOKUP($D46,MATERIALS!$A:$C,3,FALSE),"")</f>
        <v/>
      </c>
      <c r="H46" s="3">
        <f>IFERROR(VLOOKUP($D46,MATERIALS!$A:$F,6,FALSE),"")</f>
        <v/>
      </c>
      <c r="I46" s="3">
        <f>IF(AND($F46&lt;&gt;"",$H46&lt;&gt;""),$F46*$H46,"")</f>
        <v/>
      </c>
    </row>
    <row r="47">
      <c r="C47" s="3">
        <f>IFERROR(VLOOKUP($B47,INVENTORY!$A:$B,2,FALSE),"")</f>
        <v/>
      </c>
      <c r="G47" s="3">
        <f>IFERROR(VLOOKUP($D47,MATERIALS!$A:$C,3,FALSE),"")</f>
        <v/>
      </c>
      <c r="H47" s="3">
        <f>IFERROR(VLOOKUP($D47,MATERIALS!$A:$F,6,FALSE),"")</f>
        <v/>
      </c>
      <c r="I47" s="3">
        <f>IF(AND($F47&lt;&gt;"",$H47&lt;&gt;""),$F47*$H47,"")</f>
        <v/>
      </c>
    </row>
    <row r="48">
      <c r="C48" s="3">
        <f>IFERROR(VLOOKUP($B48,INVENTORY!$A:$B,2,FALSE),"")</f>
        <v/>
      </c>
      <c r="G48" s="3">
        <f>IFERROR(VLOOKUP($D48,MATERIALS!$A:$C,3,FALSE),"")</f>
        <v/>
      </c>
      <c r="H48" s="3">
        <f>IFERROR(VLOOKUP($D48,MATERIALS!$A:$F,6,FALSE),"")</f>
        <v/>
      </c>
      <c r="I48" s="3">
        <f>IF(AND($F48&lt;&gt;"",$H48&lt;&gt;""),$F48*$H48,"")</f>
        <v/>
      </c>
    </row>
    <row r="49">
      <c r="C49" s="3">
        <f>IFERROR(VLOOKUP($B49,INVENTORY!$A:$B,2,FALSE),"")</f>
        <v/>
      </c>
      <c r="G49" s="3">
        <f>IFERROR(VLOOKUP($D49,MATERIALS!$A:$C,3,FALSE),"")</f>
        <v/>
      </c>
      <c r="H49" s="3">
        <f>IFERROR(VLOOKUP($D49,MATERIALS!$A:$F,6,FALSE),"")</f>
        <v/>
      </c>
      <c r="I49" s="3">
        <f>IF(AND($F49&lt;&gt;"",$H49&lt;&gt;""),$F49*$H49,"")</f>
        <v/>
      </c>
    </row>
    <row r="50">
      <c r="C50" s="3">
        <f>IFERROR(VLOOKUP($B50,INVENTORY!$A:$B,2,FALSE),"")</f>
        <v/>
      </c>
      <c r="G50" s="3">
        <f>IFERROR(VLOOKUP($D50,MATERIALS!$A:$C,3,FALSE),"")</f>
        <v/>
      </c>
      <c r="H50" s="3">
        <f>IFERROR(VLOOKUP($D50,MATERIALS!$A:$F,6,FALSE),"")</f>
        <v/>
      </c>
      <c r="I50" s="3">
        <f>IF(AND($F50&lt;&gt;"",$H50&lt;&gt;""),$F50*$H50,"")</f>
        <v/>
      </c>
    </row>
    <row r="51">
      <c r="C51" s="3">
        <f>IFERROR(VLOOKUP($B51,INVENTORY!$A:$B,2,FALSE),"")</f>
        <v/>
      </c>
      <c r="G51" s="3">
        <f>IFERROR(VLOOKUP($D51,MATERIALS!$A:$C,3,FALSE),"")</f>
        <v/>
      </c>
      <c r="H51" s="3">
        <f>IFERROR(VLOOKUP($D51,MATERIALS!$A:$F,6,FALSE),"")</f>
        <v/>
      </c>
      <c r="I51" s="3">
        <f>IF(AND($F51&lt;&gt;"",$H51&lt;&gt;""),$F51*$H51,"")</f>
        <v/>
      </c>
    </row>
    <row r="52">
      <c r="C52" s="3">
        <f>IFERROR(VLOOKUP($B52,INVENTORY!$A:$B,2,FALSE),"")</f>
        <v/>
      </c>
      <c r="G52" s="3">
        <f>IFERROR(VLOOKUP($D52,MATERIALS!$A:$C,3,FALSE),"")</f>
        <v/>
      </c>
      <c r="H52" s="3">
        <f>IFERROR(VLOOKUP($D52,MATERIALS!$A:$F,6,FALSE),"")</f>
        <v/>
      </c>
      <c r="I52" s="3">
        <f>IF(AND($F52&lt;&gt;"",$H52&lt;&gt;""),$F52*$H52,"")</f>
        <v/>
      </c>
    </row>
    <row r="53">
      <c r="C53" s="3">
        <f>IFERROR(VLOOKUP($B53,INVENTORY!$A:$B,2,FALSE),"")</f>
        <v/>
      </c>
      <c r="G53" s="3">
        <f>IFERROR(VLOOKUP($D53,MATERIALS!$A:$C,3,FALSE),"")</f>
        <v/>
      </c>
      <c r="H53" s="3">
        <f>IFERROR(VLOOKUP($D53,MATERIALS!$A:$F,6,FALSE),"")</f>
        <v/>
      </c>
      <c r="I53" s="3">
        <f>IF(AND($F53&lt;&gt;"",$H53&lt;&gt;""),$F53*$H53,"")</f>
        <v/>
      </c>
    </row>
    <row r="54">
      <c r="C54" s="3">
        <f>IFERROR(VLOOKUP($B54,INVENTORY!$A:$B,2,FALSE),"")</f>
        <v/>
      </c>
      <c r="G54" s="3">
        <f>IFERROR(VLOOKUP($D54,MATERIALS!$A:$C,3,FALSE),"")</f>
        <v/>
      </c>
      <c r="H54" s="3">
        <f>IFERROR(VLOOKUP($D54,MATERIALS!$A:$F,6,FALSE),"")</f>
        <v/>
      </c>
      <c r="I54" s="3">
        <f>IF(AND($F54&lt;&gt;"",$H54&lt;&gt;""),$F54*$H54,"")</f>
        <v/>
      </c>
    </row>
    <row r="55">
      <c r="C55" s="3">
        <f>IFERROR(VLOOKUP($B55,INVENTORY!$A:$B,2,FALSE),"")</f>
        <v/>
      </c>
      <c r="G55" s="3">
        <f>IFERROR(VLOOKUP($D55,MATERIALS!$A:$C,3,FALSE),"")</f>
        <v/>
      </c>
      <c r="H55" s="3">
        <f>IFERROR(VLOOKUP($D55,MATERIALS!$A:$F,6,FALSE),"")</f>
        <v/>
      </c>
      <c r="I55" s="3">
        <f>IF(AND($F55&lt;&gt;"",$H55&lt;&gt;""),$F55*$H55,"")</f>
        <v/>
      </c>
    </row>
    <row r="56">
      <c r="C56" s="3">
        <f>IFERROR(VLOOKUP($B56,INVENTORY!$A:$B,2,FALSE),"")</f>
        <v/>
      </c>
      <c r="G56" s="3">
        <f>IFERROR(VLOOKUP($D56,MATERIALS!$A:$C,3,FALSE),"")</f>
        <v/>
      </c>
      <c r="H56" s="3">
        <f>IFERROR(VLOOKUP($D56,MATERIALS!$A:$F,6,FALSE),"")</f>
        <v/>
      </c>
      <c r="I56" s="3">
        <f>IF(AND($F56&lt;&gt;"",$H56&lt;&gt;""),$F56*$H56,"")</f>
        <v/>
      </c>
    </row>
    <row r="57">
      <c r="C57" s="3">
        <f>IFERROR(VLOOKUP($B57,INVENTORY!$A:$B,2,FALSE),"")</f>
        <v/>
      </c>
      <c r="G57" s="3">
        <f>IFERROR(VLOOKUP($D57,MATERIALS!$A:$C,3,FALSE),"")</f>
        <v/>
      </c>
      <c r="H57" s="3">
        <f>IFERROR(VLOOKUP($D57,MATERIALS!$A:$F,6,FALSE),"")</f>
        <v/>
      </c>
      <c r="I57" s="3">
        <f>IF(AND($F57&lt;&gt;"",$H57&lt;&gt;""),$F57*$H57,"")</f>
        <v/>
      </c>
    </row>
    <row r="58">
      <c r="C58" s="3">
        <f>IFERROR(VLOOKUP($B58,INVENTORY!$A:$B,2,FALSE),"")</f>
        <v/>
      </c>
      <c r="G58" s="3">
        <f>IFERROR(VLOOKUP($D58,MATERIALS!$A:$C,3,FALSE),"")</f>
        <v/>
      </c>
      <c r="H58" s="3">
        <f>IFERROR(VLOOKUP($D58,MATERIALS!$A:$F,6,FALSE),"")</f>
        <v/>
      </c>
      <c r="I58" s="3">
        <f>IF(AND($F58&lt;&gt;"",$H58&lt;&gt;""),$F58*$H58,"")</f>
        <v/>
      </c>
    </row>
    <row r="59">
      <c r="C59" s="3">
        <f>IFERROR(VLOOKUP($B59,INVENTORY!$A:$B,2,FALSE),"")</f>
        <v/>
      </c>
      <c r="G59" s="3">
        <f>IFERROR(VLOOKUP($D59,MATERIALS!$A:$C,3,FALSE),"")</f>
        <v/>
      </c>
      <c r="H59" s="3">
        <f>IFERROR(VLOOKUP($D59,MATERIALS!$A:$F,6,FALSE),"")</f>
        <v/>
      </c>
      <c r="I59" s="3">
        <f>IF(AND($F59&lt;&gt;"",$H59&lt;&gt;""),$F59*$H59,"")</f>
        <v/>
      </c>
    </row>
    <row r="60">
      <c r="C60" s="3">
        <f>IFERROR(VLOOKUP($B60,INVENTORY!$A:$B,2,FALSE),"")</f>
        <v/>
      </c>
      <c r="G60" s="3">
        <f>IFERROR(VLOOKUP($D60,MATERIALS!$A:$C,3,FALSE),"")</f>
        <v/>
      </c>
      <c r="H60" s="3">
        <f>IFERROR(VLOOKUP($D60,MATERIALS!$A:$F,6,FALSE),"")</f>
        <v/>
      </c>
      <c r="I60" s="3">
        <f>IF(AND($F60&lt;&gt;"",$H60&lt;&gt;""),$F60*$H60,"")</f>
        <v/>
      </c>
    </row>
    <row r="61">
      <c r="C61" s="3">
        <f>IFERROR(VLOOKUP($B61,INVENTORY!$A:$B,2,FALSE),"")</f>
        <v/>
      </c>
      <c r="G61" s="3">
        <f>IFERROR(VLOOKUP($D61,MATERIALS!$A:$C,3,FALSE),"")</f>
        <v/>
      </c>
      <c r="H61" s="3">
        <f>IFERROR(VLOOKUP($D61,MATERIALS!$A:$F,6,FALSE),"")</f>
        <v/>
      </c>
      <c r="I61" s="3">
        <f>IF(AND($F61&lt;&gt;"",$H61&lt;&gt;""),$F61*$H61,"")</f>
        <v/>
      </c>
    </row>
    <row r="62">
      <c r="C62" s="3">
        <f>IFERROR(VLOOKUP($B62,INVENTORY!$A:$B,2,FALSE),"")</f>
        <v/>
      </c>
      <c r="G62" s="3">
        <f>IFERROR(VLOOKUP($D62,MATERIALS!$A:$C,3,FALSE),"")</f>
        <v/>
      </c>
      <c r="H62" s="3">
        <f>IFERROR(VLOOKUP($D62,MATERIALS!$A:$F,6,FALSE),"")</f>
        <v/>
      </c>
      <c r="I62" s="3">
        <f>IF(AND($F62&lt;&gt;"",$H62&lt;&gt;""),$F62*$H62,"")</f>
        <v/>
      </c>
    </row>
    <row r="63">
      <c r="C63" s="3">
        <f>IFERROR(VLOOKUP($B63,INVENTORY!$A:$B,2,FALSE),"")</f>
        <v/>
      </c>
      <c r="G63" s="3">
        <f>IFERROR(VLOOKUP($D63,MATERIALS!$A:$C,3,FALSE),"")</f>
        <v/>
      </c>
      <c r="H63" s="3">
        <f>IFERROR(VLOOKUP($D63,MATERIALS!$A:$F,6,FALSE),"")</f>
        <v/>
      </c>
      <c r="I63" s="3">
        <f>IF(AND($F63&lt;&gt;"",$H63&lt;&gt;""),$F63*$H63,"")</f>
        <v/>
      </c>
    </row>
    <row r="64">
      <c r="C64" s="3">
        <f>IFERROR(VLOOKUP($B64,INVENTORY!$A:$B,2,FALSE),"")</f>
        <v/>
      </c>
      <c r="G64" s="3">
        <f>IFERROR(VLOOKUP($D64,MATERIALS!$A:$C,3,FALSE),"")</f>
        <v/>
      </c>
      <c r="H64" s="3">
        <f>IFERROR(VLOOKUP($D64,MATERIALS!$A:$F,6,FALSE),"")</f>
        <v/>
      </c>
      <c r="I64" s="3">
        <f>IF(AND($F64&lt;&gt;"",$H64&lt;&gt;""),$F64*$H64,"")</f>
        <v/>
      </c>
    </row>
    <row r="65">
      <c r="C65" s="3">
        <f>IFERROR(VLOOKUP($B65,INVENTORY!$A:$B,2,FALSE),"")</f>
        <v/>
      </c>
      <c r="G65" s="3">
        <f>IFERROR(VLOOKUP($D65,MATERIALS!$A:$C,3,FALSE),"")</f>
        <v/>
      </c>
      <c r="H65" s="3">
        <f>IFERROR(VLOOKUP($D65,MATERIALS!$A:$F,6,FALSE),"")</f>
        <v/>
      </c>
      <c r="I65" s="3">
        <f>IF(AND($F65&lt;&gt;"",$H65&lt;&gt;""),$F65*$H65,"")</f>
        <v/>
      </c>
    </row>
    <row r="66">
      <c r="C66" s="3">
        <f>IFERROR(VLOOKUP($B66,INVENTORY!$A:$B,2,FALSE),"")</f>
        <v/>
      </c>
      <c r="G66" s="3">
        <f>IFERROR(VLOOKUP($D66,MATERIALS!$A:$C,3,FALSE),"")</f>
        <v/>
      </c>
      <c r="H66" s="3">
        <f>IFERROR(VLOOKUP($D66,MATERIALS!$A:$F,6,FALSE),"")</f>
        <v/>
      </c>
      <c r="I66" s="3">
        <f>IF(AND($F66&lt;&gt;"",$H66&lt;&gt;""),$F66*$H66,"")</f>
        <v/>
      </c>
    </row>
    <row r="67">
      <c r="C67" s="3">
        <f>IFERROR(VLOOKUP($B67,INVENTORY!$A:$B,2,FALSE),"")</f>
        <v/>
      </c>
      <c r="G67" s="3">
        <f>IFERROR(VLOOKUP($D67,MATERIALS!$A:$C,3,FALSE),"")</f>
        <v/>
      </c>
      <c r="H67" s="3">
        <f>IFERROR(VLOOKUP($D67,MATERIALS!$A:$F,6,FALSE),"")</f>
        <v/>
      </c>
      <c r="I67" s="3">
        <f>IF(AND($F67&lt;&gt;"",$H67&lt;&gt;""),$F67*$H67,"")</f>
        <v/>
      </c>
    </row>
    <row r="68">
      <c r="C68" s="3">
        <f>IFERROR(VLOOKUP($B68,INVENTORY!$A:$B,2,FALSE),"")</f>
        <v/>
      </c>
      <c r="G68" s="3">
        <f>IFERROR(VLOOKUP($D68,MATERIALS!$A:$C,3,FALSE),"")</f>
        <v/>
      </c>
      <c r="H68" s="3">
        <f>IFERROR(VLOOKUP($D68,MATERIALS!$A:$F,6,FALSE),"")</f>
        <v/>
      </c>
      <c r="I68" s="3">
        <f>IF(AND($F68&lt;&gt;"",$H68&lt;&gt;""),$F68*$H68,"")</f>
        <v/>
      </c>
    </row>
    <row r="69">
      <c r="C69" s="3">
        <f>IFERROR(VLOOKUP($B69,INVENTORY!$A:$B,2,FALSE),"")</f>
        <v/>
      </c>
      <c r="G69" s="3">
        <f>IFERROR(VLOOKUP($D69,MATERIALS!$A:$C,3,FALSE),"")</f>
        <v/>
      </c>
      <c r="H69" s="3">
        <f>IFERROR(VLOOKUP($D69,MATERIALS!$A:$F,6,FALSE),"")</f>
        <v/>
      </c>
      <c r="I69" s="3">
        <f>IF(AND($F69&lt;&gt;"",$H69&lt;&gt;""),$F69*$H69,"")</f>
        <v/>
      </c>
    </row>
    <row r="70">
      <c r="C70" s="3">
        <f>IFERROR(VLOOKUP($B70,INVENTORY!$A:$B,2,FALSE),"")</f>
        <v/>
      </c>
      <c r="G70" s="3">
        <f>IFERROR(VLOOKUP($D70,MATERIALS!$A:$C,3,FALSE),"")</f>
        <v/>
      </c>
      <c r="H70" s="3">
        <f>IFERROR(VLOOKUP($D70,MATERIALS!$A:$F,6,FALSE),"")</f>
        <v/>
      </c>
      <c r="I70" s="3">
        <f>IF(AND($F70&lt;&gt;"",$H70&lt;&gt;""),$F70*$H70,"")</f>
        <v/>
      </c>
    </row>
    <row r="71">
      <c r="C71" s="3">
        <f>IFERROR(VLOOKUP($B71,INVENTORY!$A:$B,2,FALSE),"")</f>
        <v/>
      </c>
      <c r="G71" s="3">
        <f>IFERROR(VLOOKUP($D71,MATERIALS!$A:$C,3,FALSE),"")</f>
        <v/>
      </c>
      <c r="H71" s="3">
        <f>IFERROR(VLOOKUP($D71,MATERIALS!$A:$F,6,FALSE),"")</f>
        <v/>
      </c>
      <c r="I71" s="3">
        <f>IF(AND($F71&lt;&gt;"",$H71&lt;&gt;""),$F71*$H71,"")</f>
        <v/>
      </c>
    </row>
    <row r="72">
      <c r="C72" s="3">
        <f>IFERROR(VLOOKUP($B72,INVENTORY!$A:$B,2,FALSE),"")</f>
        <v/>
      </c>
      <c r="G72" s="3">
        <f>IFERROR(VLOOKUP($D72,MATERIALS!$A:$C,3,FALSE),"")</f>
        <v/>
      </c>
      <c r="H72" s="3">
        <f>IFERROR(VLOOKUP($D72,MATERIALS!$A:$F,6,FALSE),"")</f>
        <v/>
      </c>
      <c r="I72" s="3">
        <f>IF(AND($F72&lt;&gt;"",$H72&lt;&gt;""),$F72*$H72,"")</f>
        <v/>
      </c>
    </row>
    <row r="73">
      <c r="C73" s="3">
        <f>IFERROR(VLOOKUP($B73,INVENTORY!$A:$B,2,FALSE),"")</f>
        <v/>
      </c>
      <c r="G73" s="3">
        <f>IFERROR(VLOOKUP($D73,MATERIALS!$A:$C,3,FALSE),"")</f>
        <v/>
      </c>
      <c r="H73" s="3">
        <f>IFERROR(VLOOKUP($D73,MATERIALS!$A:$F,6,FALSE),"")</f>
        <v/>
      </c>
      <c r="I73" s="3">
        <f>IF(AND($F73&lt;&gt;"",$H73&lt;&gt;""),$F73*$H73,"")</f>
        <v/>
      </c>
    </row>
    <row r="74">
      <c r="C74" s="3">
        <f>IFERROR(VLOOKUP($B74,INVENTORY!$A:$B,2,FALSE),"")</f>
        <v/>
      </c>
      <c r="G74" s="3">
        <f>IFERROR(VLOOKUP($D74,MATERIALS!$A:$C,3,FALSE),"")</f>
        <v/>
      </c>
      <c r="H74" s="3">
        <f>IFERROR(VLOOKUP($D74,MATERIALS!$A:$F,6,FALSE),"")</f>
        <v/>
      </c>
      <c r="I74" s="3">
        <f>IF(AND($F74&lt;&gt;"",$H74&lt;&gt;""),$F74*$H74,"")</f>
        <v/>
      </c>
    </row>
    <row r="75">
      <c r="C75" s="3">
        <f>IFERROR(VLOOKUP($B75,INVENTORY!$A:$B,2,FALSE),"")</f>
        <v/>
      </c>
      <c r="G75" s="3">
        <f>IFERROR(VLOOKUP($D75,MATERIALS!$A:$C,3,FALSE),"")</f>
        <v/>
      </c>
      <c r="H75" s="3">
        <f>IFERROR(VLOOKUP($D75,MATERIALS!$A:$F,6,FALSE),"")</f>
        <v/>
      </c>
      <c r="I75" s="3">
        <f>IF(AND($F75&lt;&gt;"",$H75&lt;&gt;""),$F75*$H75,"")</f>
        <v/>
      </c>
    </row>
    <row r="76">
      <c r="C76" s="3">
        <f>IFERROR(VLOOKUP($B76,INVENTORY!$A:$B,2,FALSE),"")</f>
        <v/>
      </c>
      <c r="G76" s="3">
        <f>IFERROR(VLOOKUP($D76,MATERIALS!$A:$C,3,FALSE),"")</f>
        <v/>
      </c>
      <c r="H76" s="3">
        <f>IFERROR(VLOOKUP($D76,MATERIALS!$A:$F,6,FALSE),"")</f>
        <v/>
      </c>
      <c r="I76" s="3">
        <f>IF(AND($F76&lt;&gt;"",$H76&lt;&gt;""),$F76*$H76,"")</f>
        <v/>
      </c>
    </row>
    <row r="77">
      <c r="C77" s="3">
        <f>IFERROR(VLOOKUP($B77,INVENTORY!$A:$B,2,FALSE),"")</f>
        <v/>
      </c>
      <c r="G77" s="3">
        <f>IFERROR(VLOOKUP($D77,MATERIALS!$A:$C,3,FALSE),"")</f>
        <v/>
      </c>
      <c r="H77" s="3">
        <f>IFERROR(VLOOKUP($D77,MATERIALS!$A:$F,6,FALSE),"")</f>
        <v/>
      </c>
      <c r="I77" s="3">
        <f>IF(AND($F77&lt;&gt;"",$H77&lt;&gt;""),$F77*$H77,"")</f>
        <v/>
      </c>
    </row>
    <row r="78">
      <c r="C78" s="3">
        <f>IFERROR(VLOOKUP($B78,INVENTORY!$A:$B,2,FALSE),"")</f>
        <v/>
      </c>
      <c r="G78" s="3">
        <f>IFERROR(VLOOKUP($D78,MATERIALS!$A:$C,3,FALSE),"")</f>
        <v/>
      </c>
      <c r="H78" s="3">
        <f>IFERROR(VLOOKUP($D78,MATERIALS!$A:$F,6,FALSE),"")</f>
        <v/>
      </c>
      <c r="I78" s="3">
        <f>IF(AND($F78&lt;&gt;"",$H78&lt;&gt;""),$F78*$H78,"")</f>
        <v/>
      </c>
    </row>
    <row r="79">
      <c r="C79" s="3">
        <f>IFERROR(VLOOKUP($B79,INVENTORY!$A:$B,2,FALSE),"")</f>
        <v/>
      </c>
      <c r="G79" s="3">
        <f>IFERROR(VLOOKUP($D79,MATERIALS!$A:$C,3,FALSE),"")</f>
        <v/>
      </c>
      <c r="H79" s="3">
        <f>IFERROR(VLOOKUP($D79,MATERIALS!$A:$F,6,FALSE),"")</f>
        <v/>
      </c>
      <c r="I79" s="3">
        <f>IF(AND($F79&lt;&gt;"",$H79&lt;&gt;""),$F79*$H79,"")</f>
        <v/>
      </c>
    </row>
    <row r="80">
      <c r="C80" s="3">
        <f>IFERROR(VLOOKUP($B80,INVENTORY!$A:$B,2,FALSE),"")</f>
        <v/>
      </c>
      <c r="G80" s="3">
        <f>IFERROR(VLOOKUP($D80,MATERIALS!$A:$C,3,FALSE),"")</f>
        <v/>
      </c>
      <c r="H80" s="3">
        <f>IFERROR(VLOOKUP($D80,MATERIALS!$A:$F,6,FALSE),"")</f>
        <v/>
      </c>
      <c r="I80" s="3">
        <f>IF(AND($F80&lt;&gt;"",$H80&lt;&gt;""),$F80*$H80,"")</f>
        <v/>
      </c>
    </row>
  </sheetData>
  <dataValidations count="3">
    <dataValidation sqref="B2:B80" showDropDown="0" showInputMessage="0" showErrorMessage="0" allowBlank="1" type="list">
      <formula1>INVENTORY!$A$2:$A$1000</formula1>
    </dataValidation>
    <dataValidation sqref="D2:D80" showDropDown="0" showInputMessage="0" showErrorMessage="0" allowBlank="1" type="list">
      <formula1>MATERIALS!$A$2:$A$1000</formula1>
    </dataValidation>
    <dataValidation sqref="E2:E80" showDropDown="0" showInputMessage="0" showErrorMessage="0" allowBlank="1" type="list">
      <formula1>"R&amp;D,Production"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8" customWidth="1" min="4" max="4"/>
    <col width="11" customWidth="1" min="5" max="5"/>
  </cols>
  <sheetData>
    <row r="1">
      <c r="A1" s="1" t="inlineStr">
        <is>
          <t>title</t>
        </is>
      </c>
      <c r="B1" s="1" t="inlineStr">
        <is>
          <t>owner</t>
        </is>
      </c>
      <c r="C1" s="1" t="inlineStr">
        <is>
          <t>status</t>
        </is>
      </c>
      <c r="D1" s="1" t="inlineStr">
        <is>
          <t>action_required</t>
        </is>
      </c>
      <c r="E1" s="1" t="inlineStr">
        <is>
          <t>due_date</t>
        </is>
      </c>
    </row>
    <row r="2">
      <c r="A2" t="inlineStr">
        <is>
          <t xml:space="preserve">Finalise PS website </t>
        </is>
      </c>
      <c r="B2" t="inlineStr">
        <is>
          <t>Vinay</t>
        </is>
      </c>
      <c r="C2" t="inlineStr">
        <is>
          <t>To do</t>
        </is>
      </c>
      <c r="D2" t="inlineStr">
        <is>
          <t xml:space="preserve">Get on a call with Rohit to finalise the site </t>
        </is>
      </c>
      <c r="E2" t="inlineStr">
        <is>
          <t>23/07/2026</t>
        </is>
      </c>
    </row>
    <row r="3">
      <c r="A3" t="inlineStr">
        <is>
          <t>Speak to the digital guy</t>
        </is>
      </c>
      <c r="B3" t="inlineStr">
        <is>
          <t>Vinay</t>
        </is>
      </c>
      <c r="C3" t="inlineStr">
        <is>
          <t>To do</t>
        </is>
      </c>
      <c r="D3" t="inlineStr">
        <is>
          <t xml:space="preserve">Speak for market place oppotunities </t>
        </is>
      </c>
      <c r="E3" t="inlineStr">
        <is>
          <t>23/07/2026</t>
        </is>
      </c>
    </row>
    <row r="4">
      <c r="A4" t="inlineStr">
        <is>
          <t>Shirt Delivery HB</t>
        </is>
      </c>
      <c r="B4" t="inlineStr">
        <is>
          <t>Rohit</t>
        </is>
      </c>
      <c r="C4" t="inlineStr">
        <is>
          <t>To do</t>
        </is>
      </c>
      <c r="D4" t="inlineStr">
        <is>
          <t>Rohit to sort Harm The Harmonium for Amey Kadam. Payment received.</t>
        </is>
      </c>
      <c r="E4" t="inlineStr">
        <is>
          <t>27/07/2026</t>
        </is>
      </c>
    </row>
    <row r="5">
      <c r="A5" t="inlineStr">
        <is>
          <t xml:space="preserve">PS Content </t>
        </is>
      </c>
      <c r="B5" t="inlineStr">
        <is>
          <t xml:space="preserve">Vinay </t>
        </is>
      </c>
      <c r="C5" t="inlineStr">
        <is>
          <t>To do</t>
        </is>
      </c>
      <c r="D5" t="inlineStr">
        <is>
          <t xml:space="preserve">Get written content from Atul - Vinay to get it done </t>
        </is>
      </c>
      <c r="E5" t="inlineStr">
        <is>
          <t>25/07/2026</t>
        </is>
      </c>
    </row>
    <row r="6">
      <c r="A6" t="inlineStr">
        <is>
          <t xml:space="preserve">HB Website </t>
        </is>
      </c>
      <c r="B6" t="inlineStr">
        <is>
          <t>Rohit</t>
        </is>
      </c>
      <c r="C6" t="inlineStr">
        <is>
          <t>To Do</t>
        </is>
      </c>
      <c r="D6" t="inlineStr">
        <is>
          <t>Rohit chasing for website and getting it done fomr Hitesh</t>
        </is>
      </c>
      <c r="E6" t="inlineStr">
        <is>
          <t>31/07/2026</t>
        </is>
      </c>
    </row>
    <row r="7">
      <c r="A7" t="inlineStr">
        <is>
          <t>PS Prints</t>
        </is>
      </c>
      <c r="B7" t="inlineStr">
        <is>
          <t>Rohit</t>
        </is>
      </c>
      <c r="C7" t="inlineStr">
        <is>
          <t>To Do</t>
        </is>
      </c>
      <c r="D7" t="inlineStr">
        <is>
          <t>Rohit to confirm final costs for the prints of the Tshirt</t>
        </is>
      </c>
      <c r="E7" t="inlineStr">
        <is>
          <t>22/07/2026</t>
        </is>
      </c>
    </row>
    <row r="8">
      <c r="A8" t="inlineStr">
        <is>
          <t>PS Brochure</t>
        </is>
      </c>
      <c r="B8" t="inlineStr">
        <is>
          <t>Rohit</t>
        </is>
      </c>
      <c r="C8" t="inlineStr">
        <is>
          <t>To Do</t>
        </is>
      </c>
      <c r="D8" t="inlineStr">
        <is>
          <t xml:space="preserve">Design a print brochure for PS to be shared with people </t>
        </is>
      </c>
      <c r="E8" t="inlineStr">
        <is>
          <t>27/07/2026</t>
        </is>
      </c>
    </row>
    <row r="9">
      <c r="A9" t="inlineStr">
        <is>
          <t>HB Social Post</t>
        </is>
      </c>
      <c r="B9" t="inlineStr">
        <is>
          <t>Rohit</t>
        </is>
      </c>
      <c r="C9" t="inlineStr">
        <is>
          <t>Done</t>
        </is>
      </c>
      <c r="D9" t="inlineStr">
        <is>
          <t>Post on social media on Wednesday, Friday, Sunday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7" customWidth="1" min="3" max="3"/>
    <col width="15" customWidth="1" min="4" max="4"/>
    <col width="23" customWidth="1" min="5" max="5"/>
  </cols>
  <sheetData>
    <row r="1">
      <c r="A1" s="1" t="inlineStr">
        <is>
          <t>month</t>
        </is>
      </c>
      <c r="B1" s="1" t="inlineStr">
        <is>
          <t>brand_id</t>
        </is>
      </c>
      <c r="C1" s="1" t="inlineStr">
        <is>
          <t>revenue_target</t>
        </is>
      </c>
      <c r="D1" s="1" t="inlineStr">
        <is>
          <t>units_target</t>
        </is>
      </c>
      <c r="E1" s="1" t="inlineStr">
        <is>
          <t>new_customers_target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/>
    <row r="2"/>
    <row r="3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Business Loomline — data guide + automation</t>
        </is>
      </c>
    </row>
    <row r="2">
      <c r="A2" s="5" t="inlineStr">
        <is>
          <t>Blue-tinted columns are AUTOMATIC (formulas) — don't type in them. Fill the rest; use the dropdowns.</t>
        </is>
      </c>
    </row>
    <row r="3">
      <c r="A3" s="5" t="inlineStr"/>
    </row>
    <row r="4">
      <c r="A4" s="6" t="inlineStr">
        <is>
          <t>MATERIALS — buy once, it tracks the rest</t>
        </is>
      </c>
    </row>
    <row r="5">
      <c r="A5" s="5" t="inlineStr">
        <is>
          <t>Type: material, category, unit, qty_bought, total_cost, reorder_level. Auto: rate (cost/qty), quantity_on_hand (bought − used), status.</t>
        </is>
      </c>
    </row>
    <row r="6">
      <c r="A6" s="6" t="inlineStr">
        <is>
          <t>SKU_MATERIALS — log each fabric use, it does the maths</t>
        </is>
      </c>
    </row>
    <row r="7">
      <c r="A7" s="5" t="inlineStr">
        <is>
          <t>Type: date, sku (dropdown), material (dropdown), use_type (R&amp;D/Production), qty_used. Auto: style_family, unit, rate, cost.</t>
        </is>
      </c>
    </row>
    <row r="8">
      <c r="A8" s="5" t="inlineStr">
        <is>
          <t>Logging a use auto-deducts from MATERIALS.quantity_on_hand; R&amp;D vs Production is captured per row.</t>
        </is>
      </c>
    </row>
    <row r="9">
      <c r="A9" s="5" t="inlineStr"/>
    </row>
    <row r="10">
      <c r="A10" s="5" t="inlineStr">
        <is>
          <t>Money rule: the fabric PURCHASE is the expense — log it once in COSTS. MATERIALS/SKU_MATERIALS track metres + per-piece cost (reference), not a second expense.</t>
        </is>
      </c>
    </row>
    <row r="11">
      <c r="A11" s="5" t="inlineStr">
        <is>
          <t>Keep tab names EXACT and sku spelling identical across tabs so dropdowns/lookups work.</t>
        </is>
      </c>
    </row>
    <row r="12">
      <c r="A12" s="5" t="inlineStr">
        <is>
          <t>Full model: docs/business-math-data-model.md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2026-07-21T10:29:20Z</dcterms:created>
  <dcterms:modified xsi:type="dcterms:W3CDTF">2026-07-21T10:29:27Z</dcterms:modified>
</cp:coreProperties>
</file>